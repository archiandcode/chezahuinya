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6" i="1" l="1"/>
  <c r="O24" i="1"/>
  <c r="O23" i="1"/>
  <c r="O22" i="1"/>
  <c r="O21" i="1"/>
  <c r="O18" i="1"/>
  <c r="O16" i="1"/>
  <c r="O15" i="1"/>
  <c r="O14" i="1"/>
  <c r="O13" i="1"/>
  <c r="N10" i="1"/>
  <c r="M10" i="1"/>
  <c r="E10" i="1"/>
  <c r="O8" i="1"/>
  <c r="N6" i="1"/>
  <c r="M6" i="1"/>
  <c r="L6" i="1"/>
  <c r="L10" i="1" s="1"/>
  <c r="K6" i="1"/>
  <c r="K10" i="1" s="1"/>
  <c r="E6" i="1"/>
  <c r="D6" i="1"/>
  <c r="D10" i="1" s="1"/>
  <c r="C6" i="1"/>
  <c r="L5" i="1"/>
  <c r="K5" i="1"/>
  <c r="J5" i="1"/>
  <c r="J6" i="1" s="1"/>
  <c r="J10" i="1" s="1"/>
  <c r="I5" i="1"/>
  <c r="I6" i="1" s="1"/>
  <c r="I10" i="1" s="1"/>
  <c r="H5" i="1"/>
  <c r="H6" i="1" s="1"/>
  <c r="H10" i="1" s="1"/>
  <c r="G5" i="1"/>
  <c r="G6" i="1" s="1"/>
  <c r="G10" i="1" s="1"/>
  <c r="F5" i="1"/>
  <c r="F6" i="1" s="1"/>
  <c r="F10" i="1" s="1"/>
  <c r="E5" i="1"/>
  <c r="D5" i="1"/>
  <c r="C5" i="1"/>
  <c r="O5" i="1" s="1"/>
  <c r="L4" i="1"/>
  <c r="K4" i="1"/>
  <c r="J4" i="1"/>
  <c r="I4" i="1"/>
  <c r="H4" i="1"/>
  <c r="G4" i="1"/>
  <c r="F4" i="1"/>
  <c r="E4" i="1"/>
  <c r="D4" i="1"/>
  <c r="C4" i="1"/>
  <c r="O4" i="1" s="1"/>
  <c r="O6" i="1" l="1"/>
  <c r="C10" i="1"/>
  <c r="O10" i="1" s="1"/>
</calcChain>
</file>

<file path=xl/sharedStrings.xml><?xml version="1.0" encoding="utf-8"?>
<sst xmlns="http://schemas.openxmlformats.org/spreadsheetml/2006/main" count="27" uniqueCount="16">
  <si>
    <t>итого год</t>
  </si>
  <si>
    <t>расход</t>
  </si>
  <si>
    <t>приход</t>
  </si>
  <si>
    <t>итого</t>
  </si>
  <si>
    <t>представительские р-ды</t>
  </si>
  <si>
    <t>доход/убыток</t>
  </si>
  <si>
    <t>приход (долг сотрудников)</t>
  </si>
  <si>
    <t>01-18.02.2026</t>
  </si>
  <si>
    <t>25-31.03.2026</t>
  </si>
  <si>
    <t>01-29.04.2026</t>
  </si>
  <si>
    <t xml:space="preserve">Для информации: </t>
  </si>
  <si>
    <t>Деньги в обороте</t>
  </si>
  <si>
    <t>в кассе на 29.04.2026</t>
  </si>
  <si>
    <t>Долг сотрудников</t>
  </si>
  <si>
    <t>Остаток товара</t>
  </si>
  <si>
    <t>Долг поставщикам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</si>
</sst>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₸_-;\-* #,##0.00\ _₸_-;_-* &quot;-&quot;??\ _₸_-;_-@_-"/>
    <numFmt numFmtId="164" formatCode="#,##0.00\ _₽"/>
    <numFmt numFmtId="165" formatCode="#,##0.00_ ;[Red]\-#,##0.00\ "/>
    <numFmt numFmtId="167" formatCode="_-* #,##0.0_-;\-* #,##0.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2" fillId="2" borderId="9" xfId="0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4" fontId="0" fillId="0" borderId="0" xfId="0" applyNumberFormat="1"/>
    <xf numFmtId="0" fontId="2" fillId="2" borderId="13" xfId="0" applyFont="1" applyFill="1" applyBorder="1" applyAlignment="1">
      <alignment horizontal="center" vertical="center"/>
    </xf>
    <xf numFmtId="164" fontId="2" fillId="0" borderId="14" xfId="0" applyNumberFormat="1" applyFont="1" applyBorder="1"/>
    <xf numFmtId="164" fontId="3" fillId="0" borderId="14" xfId="0" applyNumberFormat="1" applyFont="1" applyBorder="1"/>
    <xf numFmtId="164" fontId="2" fillId="0" borderId="15" xfId="0" applyNumberFormat="1" applyFont="1" applyBorder="1"/>
    <xf numFmtId="164" fontId="2" fillId="0" borderId="1" xfId="0" applyNumberFormat="1" applyFont="1" applyBorder="1"/>
    <xf numFmtId="0" fontId="2" fillId="0" borderId="0" xfId="0" applyFont="1"/>
    <xf numFmtId="0" fontId="2" fillId="0" borderId="16" xfId="0" applyFont="1" applyBorder="1" applyAlignment="1">
      <alignment horizontal="center" vertical="center"/>
    </xf>
    <xf numFmtId="164" fontId="0" fillId="0" borderId="0" xfId="0" applyNumberFormat="1"/>
    <xf numFmtId="0" fontId="0" fillId="0" borderId="17" xfId="0" applyBorder="1"/>
    <xf numFmtId="0" fontId="2" fillId="2" borderId="13" xfId="0" applyFont="1" applyFill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164" fontId="3" fillId="0" borderId="14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3" fillId="0" borderId="1" xfId="0" applyNumberFormat="1" applyFont="1" applyBorder="1"/>
    <xf numFmtId="165" fontId="4" fillId="0" borderId="14" xfId="0" applyNumberFormat="1" applyFont="1" applyBorder="1"/>
    <xf numFmtId="165" fontId="4" fillId="0" borderId="1" xfId="0" applyNumberFormat="1" applyFont="1" applyBorder="1"/>
    <xf numFmtId="165" fontId="0" fillId="0" borderId="0" xfId="0" applyNumberFormat="1"/>
    <xf numFmtId="0" fontId="2" fillId="0" borderId="5" xfId="0" applyFont="1" applyBorder="1" applyAlignment="1">
      <alignment horizontal="center" vertical="center"/>
    </xf>
    <xf numFmtId="167" fontId="0" fillId="0" borderId="0" xfId="1" applyNumberFormat="1" applyFont="1"/>
    <xf numFmtId="0" fontId="2" fillId="0" borderId="21" xfId="0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23" xfId="0" applyBorder="1"/>
    <xf numFmtId="0" fontId="2" fillId="0" borderId="13" xfId="0" applyFon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28" xfId="0" applyNumberFormat="1" applyBorder="1"/>
    <xf numFmtId="0" fontId="2" fillId="0" borderId="18" xfId="0" applyFon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22" xfId="0" applyNumberFormat="1" applyBorder="1"/>
    <xf numFmtId="164" fontId="0" fillId="0" borderId="31" xfId="0" applyNumberFormat="1" applyBorder="1" applyAlignment="1">
      <alignment horizontal="center" vertical="center"/>
    </xf>
    <xf numFmtId="164" fontId="0" fillId="0" borderId="32" xfId="0" applyNumberFormat="1" applyBorder="1"/>
    <xf numFmtId="164" fontId="0" fillId="0" borderId="33" xfId="0" applyNumberFormat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165" fontId="4" fillId="0" borderId="15" xfId="0" applyNumberFormat="1" applyFont="1" applyBorder="1"/>
    <xf numFmtId="164" fontId="0" fillId="0" borderId="36" xfId="0" applyNumberFormat="1" applyBorder="1"/>
    <xf numFmtId="0" fontId="0" fillId="0" borderId="20" xfId="0" applyBorder="1"/>
    <xf numFmtId="165" fontId="4" fillId="0" borderId="24" xfId="0" applyNumberFormat="1" applyFont="1" applyBorder="1"/>
    <xf numFmtId="0" fontId="2" fillId="0" borderId="25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7" fontId="2" fillId="3" borderId="26" xfId="0" applyNumberFormat="1" applyFont="1" applyFill="1" applyBorder="1" applyAlignment="1">
      <alignment horizontal="center" vertical="center"/>
    </xf>
    <xf numFmtId="17" fontId="2" fillId="3" borderId="30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14" fontId="2" fillId="3" borderId="27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5"/>
  <sheetViews>
    <sheetView tabSelected="1" workbookViewId="0">
      <selection activeCell="F31" sqref="F31"/>
    </sheetView>
  </sheetViews>
  <sheetFormatPr defaultRowHeight="15" x14ac:dyDescent="0.25"/>
  <cols>
    <col min="2" max="2" width="26.7109375" style="5" bestFit="1" customWidth="1"/>
    <col min="3" max="3" width="13.140625" bestFit="1" customWidth="1"/>
    <col min="4" max="4" width="16.5703125" bestFit="1" customWidth="1"/>
    <col min="5" max="6" width="13.140625" bestFit="1" customWidth="1"/>
    <col min="7" max="14" width="13.140625" customWidth="1"/>
    <col min="15" max="15" width="14.140625" bestFit="1" customWidth="1"/>
    <col min="16" max="16" width="32.140625" customWidth="1"/>
  </cols>
  <sheetData>
    <row r="3" spans="2:16" s="5" customFormat="1" ht="15.75" hidden="1" thickBot="1" x14ac:dyDescent="0.3">
      <c r="B3" s="1">
        <v>2024</v>
      </c>
      <c r="C3" s="2">
        <v>45294</v>
      </c>
      <c r="D3" s="2">
        <v>45323</v>
      </c>
      <c r="E3" s="2">
        <v>45352</v>
      </c>
      <c r="F3" s="2">
        <v>45383</v>
      </c>
      <c r="G3" s="2">
        <v>45413</v>
      </c>
      <c r="H3" s="2">
        <v>45444</v>
      </c>
      <c r="I3" s="2">
        <v>45474</v>
      </c>
      <c r="J3" s="2">
        <v>45505</v>
      </c>
      <c r="K3" s="2">
        <v>45536</v>
      </c>
      <c r="L3" s="2">
        <v>45587</v>
      </c>
      <c r="M3" s="2">
        <v>45597</v>
      </c>
      <c r="N3" s="3">
        <v>45627</v>
      </c>
      <c r="O3" s="4" t="s">
        <v>0</v>
      </c>
    </row>
    <row r="4" spans="2:16" hidden="1" x14ac:dyDescent="0.25">
      <c r="B4" s="6" t="s">
        <v>1</v>
      </c>
      <c r="C4" s="7">
        <f>530+25000+16100+18300+21000+19410+11560+403500+22500+13500+23490+14500+20700+10950+20000+19550+20400+22350+10100+37000+8950+40000+26880+52580+22000+25830+12700+16000+21800+17910+23200+16600+22450+31600+15300+17300+4750+2500+13500+16350+20000+26270+18250+3600+15750+17740+2000+8500+15500+25450+13450+26200+6370+7250+4100+29000+16000+47500+15000+20250+19850+27200+52000+25470+19000+20100+15050+25500</f>
        <v>1700990</v>
      </c>
      <c r="D4" s="7">
        <f>14940+15000+37850+3500+13500+23560+30750+23200+13500+14250+200800+21550+30900+16450+18650+553855+13500+17000+16490+25920+1500+18900+28350+20030+19700+15100+14250+23450+17500+3600+2750+28200+26600+18000+24300+16500+26350+3150+16700+30540+19050+26440+110360+14550+21025+6600+24400+26530+29910+17500+19700+8000+29500+23150+19200</f>
        <v>1856550</v>
      </c>
      <c r="E4" s="7">
        <f>22250+26250+26450+17100+24400+5300+2600+13450+11750+6000+56205+29810+27000</f>
        <v>268565</v>
      </c>
      <c r="F4" s="7">
        <f>86268+32252+26200+25490+12000+352631+9400+19800+29700+28300+18300+22550+28210+17000+8950+21750+22300+23650+2500+1530+172900+22650+18150+26710+16460+13150+17550+18270+22200+16250+22100+20450+17810+15700+26900+25750+36710+1530+16430+17600+3600</f>
        <v>1337651</v>
      </c>
      <c r="G4" s="7">
        <f>325950+28200+27280+25760+11600+11700+17000+18400+1600+21180+21200+18000+21550+17345+2500+28020+19900+24600+45660+44536+13095+17000+27650+176450+34560+23550+1570+22450+21570+24900+15850+18450+15000+29380+29200+1500+15750+13520+34300+14900+20150+25010+25100+10000+9500+15000+25780+24150+52080+79500+15000+25080+23750+20050+11250+17300+16930+23750+24150+28800+14480+22750+23900+19150+720+15000+18550+6800</f>
        <v>1896306</v>
      </c>
      <c r="H4" s="7">
        <f>24800+24600+26400+93000+15000+12500+18900+20800+2700+7500+27050+22150+31070+1600+19600+24100+15000+91000+13450+28500+24150+24740+19700+21720+27640+24650+15000+1870+17950+20080+17700+13400+23410+11250+451820+16350+7500+42000+18600+135180+21100+28050+31400+31000+59000+22300+23800+17200+2250+7500+12700+500+22000+23000+28700+15000+21000+15150+11250+1400+21900+27250+22150+20550+1500</f>
        <v>1942080</v>
      </c>
      <c r="I4" s="7">
        <f>12500+31200+28700+34400+11250+62000+31750+2000+19250+24700+22960+12000+112460+15000+28050+31730+60000+28500+202430+26450+28210+35170+6560+24350+23900+25580+31000+248650+10300+9000+15000+21750+27990+30480+800+18100+14300+28130+23800+21600+750+20900+13840+10000+84450+15000+19950+750+23050+29190+3574+18060+18425+7500+148660+30750+12150+82650+7500+30350+18200+19590+7750+24690+13400+5800+122743+12540+29240+7500+27910+32750+20400+3750+16050+26750+27220+22600+17830+34750</f>
        <v>2510962</v>
      </c>
      <c r="J4" s="7">
        <f>7500+26170+16450+26760+11516+23750+7500+34600+22840+23200+277630+1645+236360+33250+27890+27700+16800+1500+10900+23500+17100+15000+32260+22460+19650+28900+23800+19450+23700+26200+35330+8700+1600+19700+284170+7500+22700+30510+28090+14720+7500+23800+7500+34800+16500+26900+19400+22300+25210+17550+30000+22400+30510+22850+4000+21600+35850+23700+35450+28020+271460+11250+3500+19340</f>
        <v>2300391</v>
      </c>
      <c r="K4" s="7">
        <f>23250+27600+29100+21850+27510+24850+900+21300+20690+5000+6000+16650+21790+35550+295920+173750+42480+186590+49150+22400+24680+32710+21050+23960+17900+25300+33030+15700+25500+33030+23600+10000+700+26550+41670+28280+700+15800+19350+41670+26300+25830+1300+7240+26400+14400+750+12350+26000+3750+55000+24700+21850+31790+4000+17510+24150+24850+7000+22950+16050+31820+29400+24850+17370+20150+18300+1550+39100+10000+77745+28850+25500+37060+15000+4500</f>
        <v>2288875</v>
      </c>
      <c r="L4" s="7">
        <f>1300+22900+31110+13300+219880+44960+33600+6500+23050+22850+68200+72000+44960+7500+7150+11700+37440+22400+7500+441294+24550+25900+26190+19400+11500+23300+20250+25460+21400+22400+30520+25550+7340+18750+14900+24930+6090+23250+15830+19240+1180+49718+38750+20630+15000+14500+500+27750+19450+28000+111177+155590+10500+29800+32800</f>
        <v>2101689</v>
      </c>
      <c r="M4" s="7">
        <v>2077781</v>
      </c>
      <c r="N4" s="8">
        <v>1973693</v>
      </c>
      <c r="O4" s="9">
        <f>SUM(C4:N4)</f>
        <v>22255533</v>
      </c>
    </row>
    <row r="5" spans="2:16" hidden="1" x14ac:dyDescent="0.25">
      <c r="B5" s="10" t="s">
        <v>2</v>
      </c>
      <c r="C5" s="11">
        <f>606950+587492+18250+35000+30000+37000+40000+49000+53000+36000+21000+34000+41000+10000+55000+42000+33100+52000+11500+33000</f>
        <v>1825292</v>
      </c>
      <c r="D5" s="11">
        <f>52000+77500+56500+399500+662500+175500+39500+124210+21500+56000+17500+29000+30000+27000+32000+9500+16500+57000+28000+80000</f>
        <v>1991210</v>
      </c>
      <c r="E5" s="11">
        <f>30000+11000+5000+329500</f>
        <v>375500</v>
      </c>
      <c r="F5" s="11">
        <f>105500+235000+116000+18000+45050+25500+95250+43000+5000+23500+60000+31000+19000+28000+15550+33050+13500</f>
        <v>911900</v>
      </c>
      <c r="G5" s="11">
        <f>57500+5000+11000+9500+105500+293660+60000+66205+44000+21500+95730+153840+34500+34900+51000+80270+14000+22000+48500+10150+25500+1500+25000+2280+25000+1520+63000+11500+1500+14000+1500+13000+3900</f>
        <v>1407955</v>
      </c>
      <c r="H5" s="11">
        <f>15000+12000+8000+17000+63060+20500+96150+49000+96710+548500+344230+211000+212665+102000+78900+35000+40180+38000+69500+36400+61500+43200+4500+59200+13000+4950+6000+600+34000+10000+23000+43000</f>
        <v>2396745</v>
      </c>
      <c r="I5" s="11">
        <f>28500+3170+14000+2000+9000+21000+1500+28500+5500+667000+628660+21000+104440+25500+1475+9000+10300+58500+327225+24500+2750+42000+39000+21000+17000+12500+11750+9000+29850+2500+5500+20000+6000+5000+43000</f>
        <v>2257620</v>
      </c>
      <c r="J5" s="11">
        <f>26500+13000+2000+944000+312000+354000+153170+25500+76175+71000+9970+115000+151750+57000+3700+15000+6470+31000+39500+21900+15500+25000+24000+13750+15000+14500+23000+36500+3800+22500+2050+25000+28730+10500+70000</f>
        <v>2758465</v>
      </c>
      <c r="K5" s="11">
        <f>43000+20000+12000+3700+33000+455500+30000+549500+23570+220500+3600+31000+22900+39500+27500+82650+25000+23500+75000+50000+17000+46900+5500+19000+14000+39500+24000+15000+19300+14000</f>
        <v>1985620</v>
      </c>
      <c r="L5" s="11">
        <f>34000+28000+438000+914100+155500+150000+54000+127200+80000+41000+12500+91020+5000+147389+37000+8000+14000+21990+20500+41720+29000+75100+14500+18140+9000+7850+5000+23950</f>
        <v>2603459</v>
      </c>
      <c r="M5" s="11">
        <v>2185225</v>
      </c>
      <c r="N5" s="12">
        <v>2497750</v>
      </c>
      <c r="O5" s="13">
        <f t="shared" ref="O5" si="0">SUM(C5:N5)</f>
        <v>23196741</v>
      </c>
      <c r="P5" s="14"/>
    </row>
    <row r="6" spans="2:16" s="20" customFormat="1" ht="15.75" hidden="1" thickBot="1" x14ac:dyDescent="0.3">
      <c r="B6" s="15" t="s">
        <v>3</v>
      </c>
      <c r="C6" s="16">
        <f>C5-C4</f>
        <v>124302</v>
      </c>
      <c r="D6" s="16">
        <f>D5-D4</f>
        <v>134660</v>
      </c>
      <c r="E6" s="16">
        <f>E5-E4</f>
        <v>106935</v>
      </c>
      <c r="F6" s="17">
        <f t="shared" ref="F6:N6" si="1">F5-F4</f>
        <v>-425751</v>
      </c>
      <c r="G6" s="17">
        <f t="shared" si="1"/>
        <v>-488351</v>
      </c>
      <c r="H6" s="16">
        <f t="shared" si="1"/>
        <v>454665</v>
      </c>
      <c r="I6" s="17">
        <f t="shared" si="1"/>
        <v>-253342</v>
      </c>
      <c r="J6" s="16">
        <f t="shared" si="1"/>
        <v>458074</v>
      </c>
      <c r="K6" s="17">
        <f t="shared" si="1"/>
        <v>-303255</v>
      </c>
      <c r="L6" s="16">
        <f t="shared" si="1"/>
        <v>501770</v>
      </c>
      <c r="M6" s="16">
        <f t="shared" si="1"/>
        <v>107444</v>
      </c>
      <c r="N6" s="18">
        <f t="shared" si="1"/>
        <v>524057</v>
      </c>
      <c r="O6" s="19">
        <f>SUM(C6:N6)</f>
        <v>941208</v>
      </c>
    </row>
    <row r="7" spans="2:16" hidden="1" x14ac:dyDescent="0.25">
      <c r="B7" s="21"/>
      <c r="C7" s="22"/>
      <c r="D7" s="22"/>
      <c r="E7" s="22"/>
      <c r="F7" s="22"/>
      <c r="G7" s="22"/>
      <c r="H7" s="22"/>
      <c r="I7" s="22"/>
      <c r="J7" s="22"/>
      <c r="K7" s="22"/>
      <c r="O7" s="23"/>
    </row>
    <row r="8" spans="2:16" s="28" customFormat="1" ht="15.75" hidden="1" thickBot="1" x14ac:dyDescent="0.3">
      <c r="B8" s="24" t="s">
        <v>4</v>
      </c>
      <c r="C8" s="25">
        <v>210400</v>
      </c>
      <c r="D8" s="25">
        <v>175150</v>
      </c>
      <c r="E8" s="25">
        <v>88650</v>
      </c>
      <c r="F8" s="25">
        <v>57350</v>
      </c>
      <c r="G8" s="25">
        <v>60760</v>
      </c>
      <c r="H8" s="25">
        <v>45700</v>
      </c>
      <c r="I8" s="25">
        <v>51350</v>
      </c>
      <c r="J8" s="25">
        <v>148150</v>
      </c>
      <c r="K8" s="25">
        <v>209440</v>
      </c>
      <c r="L8" s="25">
        <v>342000</v>
      </c>
      <c r="M8" s="25">
        <v>204000</v>
      </c>
      <c r="N8" s="26">
        <v>155440</v>
      </c>
      <c r="O8" s="27">
        <f>SUM(C8:N8)</f>
        <v>1748390</v>
      </c>
    </row>
    <row r="9" spans="2:16" hidden="1" x14ac:dyDescent="0.25">
      <c r="B9" s="21"/>
      <c r="O9" s="23"/>
    </row>
    <row r="10" spans="2:16" ht="15.75" hidden="1" thickBot="1" x14ac:dyDescent="0.3">
      <c r="B10" s="24" t="s">
        <v>5</v>
      </c>
      <c r="C10" s="29">
        <f>C6-C8</f>
        <v>-86098</v>
      </c>
      <c r="D10" s="29">
        <f t="shared" ref="D10:M10" si="2">D6-D8</f>
        <v>-40490</v>
      </c>
      <c r="E10" s="30">
        <f t="shared" si="2"/>
        <v>18285</v>
      </c>
      <c r="F10" s="29">
        <f t="shared" si="2"/>
        <v>-483101</v>
      </c>
      <c r="G10" s="29">
        <f t="shared" si="2"/>
        <v>-549111</v>
      </c>
      <c r="H10" s="30">
        <f t="shared" si="2"/>
        <v>408965</v>
      </c>
      <c r="I10" s="29">
        <f t="shared" si="2"/>
        <v>-304692</v>
      </c>
      <c r="J10" s="30">
        <f t="shared" si="2"/>
        <v>309924</v>
      </c>
      <c r="K10" s="29">
        <f t="shared" si="2"/>
        <v>-512695</v>
      </c>
      <c r="L10" s="30">
        <f t="shared" si="2"/>
        <v>159770</v>
      </c>
      <c r="M10" s="29">
        <f t="shared" si="2"/>
        <v>-96556</v>
      </c>
      <c r="N10" s="31">
        <f>N6-N8</f>
        <v>368617</v>
      </c>
      <c r="O10" s="32">
        <f>SUM(C10:N10)</f>
        <v>-807182</v>
      </c>
    </row>
    <row r="11" spans="2:16" ht="15.75" thickBot="1" x14ac:dyDescent="0.3"/>
    <row r="12" spans="2:16" x14ac:dyDescent="0.25">
      <c r="B12" s="61">
        <v>2025</v>
      </c>
      <c r="C12" s="65">
        <v>45658</v>
      </c>
      <c r="D12" s="65">
        <v>45689</v>
      </c>
      <c r="E12" s="65">
        <v>45717</v>
      </c>
      <c r="F12" s="65">
        <v>45777</v>
      </c>
      <c r="G12" s="65">
        <v>45778</v>
      </c>
      <c r="H12" s="65">
        <v>45809</v>
      </c>
      <c r="I12" s="65">
        <v>45839</v>
      </c>
      <c r="J12" s="65">
        <v>45870</v>
      </c>
      <c r="K12" s="65">
        <v>45901</v>
      </c>
      <c r="L12" s="65">
        <v>45931</v>
      </c>
      <c r="M12" s="65">
        <v>45962</v>
      </c>
      <c r="N12" s="66">
        <v>46022</v>
      </c>
      <c r="O12" s="67" t="s">
        <v>0</v>
      </c>
    </row>
    <row r="13" spans="2:16" x14ac:dyDescent="0.25">
      <c r="B13" s="62" t="s">
        <v>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  <c r="O13" s="9">
        <f>SUM(C13:N13)</f>
        <v>0</v>
      </c>
      <c r="P13" s="22"/>
    </row>
    <row r="14" spans="2:16" ht="15.75" thickBot="1" x14ac:dyDescent="0.3">
      <c r="B14" s="62" t="s">
        <v>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9">
        <f>SUM(C14:N14)</f>
        <v>0</v>
      </c>
      <c r="P14" s="14"/>
    </row>
    <row r="15" spans="2:16" hidden="1" x14ac:dyDescent="0.25">
      <c r="B15" s="63" t="s">
        <v>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13">
        <f t="shared" ref="O15" si="3">SUM(C15:N15)</f>
        <v>0</v>
      </c>
    </row>
    <row r="16" spans="2:16" ht="15.75" thickBot="1" x14ac:dyDescent="0.3">
      <c r="B16" s="64" t="s">
        <v>3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54"/>
      <c r="O16" s="34">
        <f>SUM(C16:N16)</f>
        <v>0</v>
      </c>
      <c r="P16" s="14"/>
    </row>
    <row r="17" spans="2:16" x14ac:dyDescent="0.25">
      <c r="B17" s="36"/>
      <c r="C17" s="50"/>
      <c r="D17" s="50"/>
      <c r="E17" s="50"/>
      <c r="F17" s="50"/>
      <c r="G17" s="50"/>
      <c r="H17" s="50"/>
      <c r="I17" s="50"/>
      <c r="J17" s="50"/>
      <c r="K17" s="50"/>
      <c r="L17" s="51"/>
      <c r="M17" s="51"/>
      <c r="N17" s="52"/>
      <c r="O17" s="53"/>
    </row>
    <row r="18" spans="2:16" ht="15.75" thickBot="1" x14ac:dyDescent="0.3">
      <c r="B18" s="68" t="s">
        <v>4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8"/>
      <c r="O18" s="49">
        <f>SUM(C18:N18)</f>
        <v>0</v>
      </c>
    </row>
    <row r="19" spans="2:16" ht="15.75" thickBot="1" x14ac:dyDescent="0.3">
      <c r="B19"/>
    </row>
    <row r="20" spans="2:16" x14ac:dyDescent="0.25">
      <c r="B20" s="61">
        <v>2026</v>
      </c>
      <c r="C20" s="65">
        <v>46023</v>
      </c>
      <c r="D20" s="65" t="s">
        <v>7</v>
      </c>
      <c r="E20" s="65" t="s">
        <v>8</v>
      </c>
      <c r="F20" s="65" t="s">
        <v>9</v>
      </c>
      <c r="G20" s="65"/>
      <c r="H20" s="65"/>
      <c r="I20" s="65"/>
      <c r="J20" s="65"/>
      <c r="K20" s="65"/>
      <c r="L20" s="65"/>
      <c r="M20" s="65"/>
      <c r="N20" s="65"/>
      <c r="O20" s="69" t="s">
        <v>0</v>
      </c>
    </row>
    <row r="21" spans="2:16" x14ac:dyDescent="0.25">
      <c r="B21" s="62" t="s">
        <v>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44">
        <f>SUM(C21:N21)</f>
        <v>0</v>
      </c>
      <c r="P21" s="22"/>
    </row>
    <row r="22" spans="2:16" ht="15.75" thickBot="1" x14ac:dyDescent="0.3">
      <c r="B22" s="62" t="s">
        <v>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44">
        <f>SUM(C22:N22)</f>
        <v>0</v>
      </c>
      <c r="P22" s="14"/>
    </row>
    <row r="23" spans="2:16" hidden="1" x14ac:dyDescent="0.25">
      <c r="B23" s="63" t="s">
        <v>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55">
        <f t="shared" ref="O23" si="4">SUM(C23:N23)</f>
        <v>0</v>
      </c>
    </row>
    <row r="24" spans="2:16" ht="15.75" thickBot="1" x14ac:dyDescent="0.3">
      <c r="B24" s="64" t="s">
        <v>3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57">
        <f>SUM(C24:N24)</f>
        <v>0</v>
      </c>
      <c r="P24" s="14"/>
    </row>
    <row r="25" spans="2:16" x14ac:dyDescent="0.25">
      <c r="B25" s="36"/>
      <c r="C25" s="50"/>
      <c r="D25" s="50"/>
      <c r="E25" s="50"/>
      <c r="F25" s="50"/>
      <c r="G25" s="50"/>
      <c r="H25" s="50"/>
      <c r="I25" s="50"/>
      <c r="J25" s="50"/>
      <c r="K25" s="50"/>
      <c r="L25" s="51"/>
      <c r="M25" s="51"/>
      <c r="N25" s="51"/>
      <c r="O25" s="56"/>
    </row>
    <row r="26" spans="2:16" ht="15.75" thickBot="1" x14ac:dyDescent="0.3">
      <c r="B26" s="68" t="s">
        <v>4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7">
        <f>SUM(C26:N26)</f>
        <v>0</v>
      </c>
    </row>
    <row r="27" spans="2:16" x14ac:dyDescent="0.25">
      <c r="O27" s="35"/>
    </row>
    <row r="28" spans="2:16" ht="15.75" thickBot="1" x14ac:dyDescent="0.3">
      <c r="B28" s="70" t="s">
        <v>10</v>
      </c>
      <c r="N28" s="14"/>
      <c r="O28" s="14"/>
    </row>
    <row r="29" spans="2:16" ht="15.75" thickBot="1" x14ac:dyDescent="0.3">
      <c r="F29" s="14"/>
      <c r="O29" s="35"/>
    </row>
    <row r="30" spans="2:16" x14ac:dyDescent="0.25">
      <c r="B30" s="58" t="s">
        <v>11</v>
      </c>
      <c r="C30" s="59"/>
      <c r="F30" s="14"/>
    </row>
    <row r="31" spans="2:16" x14ac:dyDescent="0.25">
      <c r="B31" s="45" t="s">
        <v>12</v>
      </c>
      <c r="C31" s="60"/>
      <c r="E31" s="14"/>
      <c r="J31" s="14"/>
    </row>
    <row r="32" spans="2:16" x14ac:dyDescent="0.25">
      <c r="B32" s="45" t="s">
        <v>13</v>
      </c>
      <c r="C32" s="60"/>
      <c r="E32" s="14"/>
      <c r="F32" s="14"/>
      <c r="G32" s="14"/>
      <c r="N32" s="37"/>
    </row>
    <row r="33" spans="2:8" ht="15.75" thickBot="1" x14ac:dyDescent="0.3">
      <c r="B33" s="38" t="s">
        <v>14</v>
      </c>
      <c r="C33" s="39"/>
      <c r="E33" s="14"/>
    </row>
    <row r="34" spans="2:8" ht="15.75" thickBot="1" x14ac:dyDescent="0.3">
      <c r="B34" s="21"/>
      <c r="C34" s="40"/>
    </row>
    <row r="35" spans="2:8" ht="15.75" thickBot="1" x14ac:dyDescent="0.3">
      <c r="B35" s="41" t="s">
        <v>15</v>
      </c>
      <c r="C35" s="42"/>
    </row>
    <row r="37" spans="2:8" x14ac:dyDescent="0.25">
      <c r="H37" s="14"/>
    </row>
    <row r="44" spans="2:8" x14ac:dyDescent="0.25">
      <c r="B44" s="43"/>
    </row>
    <row r="45" spans="2:8" x14ac:dyDescent="0.25">
      <c r="B45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2026-05-04T08:02:30Z</dcterms:modified>
</cp:coreProperties>
</file>