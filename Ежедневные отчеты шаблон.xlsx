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4" i="1" l="1"/>
  <c r="N87" i="1"/>
  <c r="I87" i="1"/>
  <c r="H87" i="1"/>
  <c r="G87" i="1"/>
  <c r="F87" i="1"/>
  <c r="M87" i="1"/>
  <c r="L87" i="1"/>
  <c r="K87" i="1"/>
  <c r="J87" i="1"/>
  <c r="E87" i="1"/>
  <c r="D87" i="1"/>
  <c r="C87" i="1"/>
  <c r="C63" i="1"/>
  <c r="L36" i="1"/>
  <c r="K36" i="1"/>
  <c r="J36" i="1"/>
  <c r="I36" i="1"/>
  <c r="H36" i="1"/>
  <c r="G36" i="1"/>
  <c r="F36" i="1"/>
  <c r="E36" i="1"/>
  <c r="D36" i="1"/>
  <c r="C36" i="1"/>
  <c r="J23" i="1"/>
  <c r="K23" i="1"/>
  <c r="H23" i="1"/>
  <c r="H59" i="1" s="1"/>
  <c r="G23" i="1"/>
  <c r="F23" i="1"/>
  <c r="F59" i="1" s="1"/>
  <c r="B13" i="1"/>
  <c r="C23" i="1" s="1"/>
  <c r="B12" i="1"/>
  <c r="H11" i="1"/>
  <c r="E23" i="1" s="1"/>
  <c r="E59" i="1" s="1"/>
  <c r="E11" i="1"/>
  <c r="D23" i="1" s="1"/>
  <c r="H10" i="1"/>
  <c r="E10" i="1"/>
  <c r="Q9" i="1"/>
  <c r="L23" i="1" s="1"/>
  <c r="Q8" i="1"/>
  <c r="N8" i="1"/>
  <c r="K8" i="1"/>
  <c r="I23" i="1" s="1"/>
  <c r="N7" i="1"/>
  <c r="K7" i="1"/>
  <c r="I59" i="1" l="1"/>
  <c r="G59" i="1"/>
  <c r="K59" i="1"/>
  <c r="D59" i="1"/>
  <c r="C59" i="1"/>
  <c r="L59" i="1"/>
  <c r="D114" i="1"/>
  <c r="J59" i="1"/>
</calcChain>
</file>

<file path=xl/sharedStrings.xml><?xml version="1.0" encoding="utf-8"?>
<sst xmlns="http://schemas.openxmlformats.org/spreadsheetml/2006/main" count="197" uniqueCount="125">
  <si>
    <t>Отчет по взысканиям</t>
  </si>
  <si>
    <t>КА ПКБ</t>
  </si>
  <si>
    <t>КА FC</t>
  </si>
  <si>
    <t>КА iC</t>
  </si>
  <si>
    <t>СФК NFS</t>
  </si>
  <si>
    <t>СФК ALEM Finance</t>
  </si>
  <si>
    <t>СФК Almaty Finance</t>
  </si>
  <si>
    <t>KZ329650200007871941</t>
  </si>
  <si>
    <t xml:space="preserve">KZ5496502F0017239752 </t>
  </si>
  <si>
    <t>KZ6896502F0015023050</t>
  </si>
  <si>
    <t>KZ2796502F0021037109</t>
  </si>
  <si>
    <t xml:space="preserve">KZ1396502F0020929982 </t>
  </si>
  <si>
    <t>KZ5496502F0021570996</t>
  </si>
  <si>
    <t>KZ6296502F0010351153</t>
  </si>
  <si>
    <t>KZ7396502F0017745750</t>
  </si>
  <si>
    <t>KZ3996502F0018314782</t>
  </si>
  <si>
    <t>KZ2194800KZT22020092 (кастоди)</t>
  </si>
  <si>
    <t>KZ2694800KZT22020099 (кастоди)</t>
  </si>
  <si>
    <t>KZ23998CTB0001895290 (JUSAN)</t>
  </si>
  <si>
    <t>KZ3796502F0011645777</t>
  </si>
  <si>
    <t>KZ53998CTB0001741490 (JUSAN)</t>
  </si>
  <si>
    <t>KZ45998CTB0001768988 (JUSAN)</t>
  </si>
  <si>
    <t>ИТОГО</t>
  </si>
  <si>
    <t>KZ6994800KZT22020101 (кастоди)</t>
  </si>
  <si>
    <t>KZ9796502F0012278107</t>
  </si>
  <si>
    <t xml:space="preserve">KZ94601A861035235301 (Народный) </t>
  </si>
  <si>
    <t xml:space="preserve">KZ37601A861042925711 (Народный) </t>
  </si>
  <si>
    <t xml:space="preserve">Поступление за взыскание </t>
  </si>
  <si>
    <t>KZ58998CTB0000682742 (JUSAN)</t>
  </si>
  <si>
    <t>KZ5994806KZT22038781 (Евразийский)</t>
  </si>
  <si>
    <t>KZ9494806KZT22038927 (Евразийский)</t>
  </si>
  <si>
    <t xml:space="preserve">KZ86601A861003469691 (Народный)                       </t>
  </si>
  <si>
    <t>KZ9494806KZT22036599 (Евразийский)</t>
  </si>
  <si>
    <t xml:space="preserve">ИТОГО </t>
  </si>
  <si>
    <t>Всего за 30.04-03.05.2026 г. взыскание по КА</t>
  </si>
  <si>
    <t>30.04-03.05.2026 г.</t>
  </si>
  <si>
    <t xml:space="preserve">наименование </t>
  </si>
  <si>
    <t>Коллекторское агентство</t>
  </si>
  <si>
    <t>Инвест.компани</t>
  </si>
  <si>
    <t>Производство</t>
  </si>
  <si>
    <t xml:space="preserve">           Финансовые компании</t>
  </si>
  <si>
    <t>ТОО КА «ПКБ»</t>
  </si>
  <si>
    <t>ТОО «F C»</t>
  </si>
  <si>
    <t>ТОО «iC»</t>
  </si>
  <si>
    <t>ТОО «N C»</t>
  </si>
  <si>
    <t>ТОО «RA Holding»</t>
  </si>
  <si>
    <t>ТОО «RA paper»</t>
  </si>
  <si>
    <t>New Finance Sol.</t>
  </si>
  <si>
    <t>ALEM Finance</t>
  </si>
  <si>
    <t>AN Capital</t>
  </si>
  <si>
    <t>Almaty Finance</t>
  </si>
  <si>
    <t>на начало дня</t>
  </si>
  <si>
    <t>итого приход:</t>
  </si>
  <si>
    <t>взыскание</t>
  </si>
  <si>
    <t>приход от деятельности</t>
  </si>
  <si>
    <t>iC</t>
  </si>
  <si>
    <t>возврат взысканной суммы</t>
  </si>
  <si>
    <t>по тендерам</t>
  </si>
  <si>
    <t>приход м/у счетами ТОО и ИП</t>
  </si>
  <si>
    <t>ПКБ</t>
  </si>
  <si>
    <t>приход м/у счетами внутри</t>
  </si>
  <si>
    <t>касса</t>
  </si>
  <si>
    <t>конвертация</t>
  </si>
  <si>
    <t>возврат поставщиков</t>
  </si>
  <si>
    <t>возврат по письму</t>
  </si>
  <si>
    <t>возврат</t>
  </si>
  <si>
    <t>итого расход:</t>
  </si>
  <si>
    <t xml:space="preserve">расход м/у счетами ТОО и ИП </t>
  </si>
  <si>
    <t>F collect</t>
  </si>
  <si>
    <t>ИП "Көк-Төбе"</t>
  </si>
  <si>
    <t>расход м/у счетами внутри</t>
  </si>
  <si>
    <t xml:space="preserve">за товар                                       </t>
  </si>
  <si>
    <t>ИП "Grand"</t>
  </si>
  <si>
    <t>детали для гарнитуры</t>
  </si>
  <si>
    <t xml:space="preserve">за услуги    </t>
  </si>
  <si>
    <t>ТОО Qaztech Solution</t>
  </si>
  <si>
    <t>интернет май 2026г.</t>
  </si>
  <si>
    <t>Тоғайбаева Жангүл</t>
  </si>
  <si>
    <t>по договору займа</t>
  </si>
  <si>
    <t>в подотчет (перерасход за ремонт квартиры</t>
  </si>
  <si>
    <t>Бейсембинова Айсу</t>
  </si>
  <si>
    <t>в подотчет (за продукты)</t>
  </si>
  <si>
    <t>Джумабеков Ерканат Берикбаевич</t>
  </si>
  <si>
    <t xml:space="preserve">текущие платежи         </t>
  </si>
  <si>
    <t>налоги</t>
  </si>
  <si>
    <t>ГП</t>
  </si>
  <si>
    <t xml:space="preserve">зп/аванс/увольнение/отпуск        </t>
  </si>
  <si>
    <t>Инкасса в кассу</t>
  </si>
  <si>
    <t>для пополнения счета</t>
  </si>
  <si>
    <t>комиссия банка</t>
  </si>
  <si>
    <t>на конец дня от инвестора Абибова Р.А.</t>
  </si>
  <si>
    <t>на конец дня от взыскания (кастоди)</t>
  </si>
  <si>
    <t>итого на конец дня</t>
  </si>
  <si>
    <t>ok</t>
  </si>
  <si>
    <t>Обслуживающие компании</t>
  </si>
  <si>
    <t>Аренда</t>
  </si>
  <si>
    <t>Строительные компании</t>
  </si>
  <si>
    <t>Транспортные</t>
  </si>
  <si>
    <t xml:space="preserve">Торговые компании </t>
  </si>
  <si>
    <t>ТОО «QR C»</t>
  </si>
  <si>
    <t>ТОО «FaxOm»</t>
  </si>
  <si>
    <t>ИП ЦУР</t>
  </si>
  <si>
    <t>ИП «Көк-Төбе»</t>
  </si>
  <si>
    <t xml:space="preserve">ТОО «RA Constr E» </t>
  </si>
  <si>
    <t>ТОО "ONK invest"</t>
  </si>
  <si>
    <t>ТОО «Leader Build»</t>
  </si>
  <si>
    <t>ИП Абибов Кемран</t>
  </si>
  <si>
    <t>ИП Набиев Исмаил</t>
  </si>
  <si>
    <t>ТОО "LD"</t>
  </si>
  <si>
    <t>ТОО «RA Transport»</t>
  </si>
  <si>
    <t>возврат налогов</t>
  </si>
  <si>
    <t xml:space="preserve">возврат </t>
  </si>
  <si>
    <t xml:space="preserve">расход м/у счетами </t>
  </si>
  <si>
    <t>за товар</t>
  </si>
  <si>
    <t xml:space="preserve">за услуги                                            </t>
  </si>
  <si>
    <t>ИП Алексеев</t>
  </si>
  <si>
    <t>за лицензию на ПО для ЭВМ Oktell</t>
  </si>
  <si>
    <t xml:space="preserve">текущие платежи                   </t>
  </si>
  <si>
    <t>инкасса в кассу</t>
  </si>
  <si>
    <t>на конец дня</t>
  </si>
  <si>
    <t>ок</t>
  </si>
  <si>
    <t>Салон красоты</t>
  </si>
  <si>
    <t>ТОО BM Beаuty Luxe</t>
  </si>
  <si>
    <t>ИП Мирзаева</t>
  </si>
  <si>
    <t>возврат налогов/зп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</si>
</sst>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₸_-;\-* #,##0.00\ _₸_-;_-* &quot;-&quot;??\ _₸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i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Arial"/>
      <family val="2"/>
      <charset val="204"/>
    </font>
    <font>
      <b/>
      <sz val="11"/>
      <name val="Calibri"/>
      <family val="2"/>
      <charset val="204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8FAFE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86">
    <xf numFmtId="0" fontId="0" fillId="0" borderId="0" xfId="0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43" fontId="4" fillId="3" borderId="3" xfId="1" applyFont="1" applyFill="1" applyBorder="1" applyAlignment="1">
      <alignment vertical="center"/>
    </xf>
    <xf numFmtId="0" fontId="4" fillId="3" borderId="3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43" fontId="4" fillId="2" borderId="3" xfId="1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43" fontId="4" fillId="0" borderId="0" xfId="1" applyFont="1" applyFill="1" applyBorder="1" applyAlignment="1">
      <alignment vertical="center"/>
    </xf>
    <xf numFmtId="4" fontId="0" fillId="0" borderId="0" xfId="0" applyNumberFormat="1"/>
    <xf numFmtId="0" fontId="4" fillId="0" borderId="0" xfId="0" applyFont="1" applyAlignment="1">
      <alignment horizontal="right" vertical="center" wrapText="1"/>
    </xf>
    <xf numFmtId="4" fontId="4" fillId="0" borderId="0" xfId="0" applyNumberFormat="1" applyFont="1"/>
    <xf numFmtId="0" fontId="4" fillId="2" borderId="1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" fontId="4" fillId="2" borderId="3" xfId="0" applyNumberFormat="1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4" fontId="4" fillId="0" borderId="0" xfId="0" applyNumberFormat="1" applyFont="1" applyAlignment="1">
      <alignment horizontal="right" wrapText="1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4" fontId="6" fillId="2" borderId="3" xfId="0" applyNumberFormat="1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/>
    <xf numFmtId="4" fontId="6" fillId="0" borderId="9" xfId="0" applyNumberFormat="1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" fontId="6" fillId="0" borderId="7" xfId="0" applyNumberFormat="1" applyFont="1" applyBorder="1"/>
    <xf numFmtId="4" fontId="6" fillId="0" borderId="10" xfId="0" applyNumberFormat="1" applyFont="1" applyBorder="1"/>
    <xf numFmtId="0" fontId="3" fillId="0" borderId="1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4" fontId="6" fillId="0" borderId="3" xfId="0" applyNumberFormat="1" applyFont="1" applyBorder="1"/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4" fontId="7" fillId="0" borderId="5" xfId="0" applyNumberFormat="1" applyFont="1" applyBorder="1"/>
    <xf numFmtId="4" fontId="7" fillId="0" borderId="11" xfId="0" applyNumberFormat="1" applyFont="1" applyBorder="1" applyAlignment="1">
      <alignment vertical="center" wrapText="1"/>
    </xf>
    <xf numFmtId="4" fontId="7" fillId="0" borderId="12" xfId="0" applyNumberFormat="1" applyFont="1" applyBorder="1"/>
    <xf numFmtId="4" fontId="5" fillId="0" borderId="12" xfId="0" applyNumberFormat="1" applyFont="1" applyBorder="1"/>
    <xf numFmtId="4" fontId="7" fillId="0" borderId="0" xfId="0" applyNumberFormat="1" applyFont="1"/>
    <xf numFmtId="4" fontId="5" fillId="0" borderId="11" xfId="0" applyNumberFormat="1" applyFont="1" applyBorder="1" applyAlignment="1">
      <alignment vertical="center"/>
    </xf>
    <xf numFmtId="4" fontId="7" fillId="0" borderId="11" xfId="0" applyNumberFormat="1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 wrapText="1"/>
    </xf>
    <xf numFmtId="4" fontId="7" fillId="0" borderId="14" xfId="0" applyNumberFormat="1" applyFont="1" applyBorder="1" applyAlignment="1">
      <alignment vertical="center"/>
    </xf>
    <xf numFmtId="0" fontId="0" fillId="0" borderId="11" xfId="0" applyBorder="1" applyAlignment="1">
      <alignment vertical="center"/>
    </xf>
    <xf numFmtId="4" fontId="7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1" fillId="0" borderId="13" xfId="0" applyFont="1" applyBorder="1" applyAlignment="1">
      <alignment vertical="center"/>
    </xf>
    <xf numFmtId="4" fontId="7" fillId="0" borderId="0" xfId="0" applyNumberFormat="1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4" fontId="5" fillId="0" borderId="14" xfId="0" applyNumberFormat="1" applyFont="1" applyBorder="1" applyAlignment="1">
      <alignment vertical="center"/>
    </xf>
    <xf numFmtId="4" fontId="5" fillId="0" borderId="0" xfId="0" applyNumberFormat="1" applyFont="1" applyAlignment="1">
      <alignment vertical="center" wrapText="1"/>
    </xf>
    <xf numFmtId="0" fontId="1" fillId="0" borderId="11" xfId="0" applyFont="1" applyBorder="1" applyAlignment="1">
      <alignment vertical="center"/>
    </xf>
    <xf numFmtId="4" fontId="7" fillId="0" borderId="14" xfId="0" applyNumberFormat="1" applyFont="1" applyBorder="1" applyAlignment="1">
      <alignment vertical="center" wrapText="1"/>
    </xf>
    <xf numFmtId="0" fontId="3" fillId="0" borderId="13" xfId="0" applyFont="1" applyBorder="1"/>
    <xf numFmtId="4" fontId="7" fillId="0" borderId="14" xfId="0" applyNumberFormat="1" applyFont="1" applyBorder="1"/>
    <xf numFmtId="4" fontId="7" fillId="0" borderId="11" xfId="0" applyNumberFormat="1" applyFont="1" applyBorder="1" applyAlignment="1">
      <alignment wrapText="1"/>
    </xf>
    <xf numFmtId="4" fontId="5" fillId="0" borderId="11" xfId="0" applyNumberFormat="1" applyFont="1" applyBorder="1"/>
    <xf numFmtId="4" fontId="7" fillId="0" borderId="0" xfId="0" applyNumberFormat="1" applyFont="1" applyAlignment="1">
      <alignment wrapText="1"/>
    </xf>
    <xf numFmtId="0" fontId="1" fillId="0" borderId="13" xfId="0" applyFont="1" applyBorder="1"/>
    <xf numFmtId="0" fontId="0" fillId="0" borderId="14" xfId="0" applyBorder="1" applyAlignment="1">
      <alignment vertical="center" wrapText="1"/>
    </xf>
    <xf numFmtId="4" fontId="7" fillId="0" borderId="11" xfId="0" applyNumberFormat="1" applyFont="1" applyBorder="1"/>
    <xf numFmtId="4" fontId="7" fillId="0" borderId="0" xfId="0" applyNumberFormat="1" applyFont="1" applyAlignment="1">
      <alignment vertical="center" wrapText="1"/>
    </xf>
    <xf numFmtId="4" fontId="5" fillId="0" borderId="11" xfId="0" applyNumberFormat="1" applyFont="1" applyBorder="1" applyAlignment="1">
      <alignment vertical="center" wrapText="1"/>
    </xf>
    <xf numFmtId="0" fontId="0" fillId="0" borderId="0" xfId="0" applyAlignment="1">
      <alignment vertical="center" wrapText="1"/>
    </xf>
    <xf numFmtId="4" fontId="5" fillId="0" borderId="0" xfId="0" applyNumberFormat="1" applyFont="1" applyAlignment="1">
      <alignment vertical="center"/>
    </xf>
    <xf numFmtId="0" fontId="3" fillId="0" borderId="2" xfId="0" applyFont="1" applyBorder="1"/>
    <xf numFmtId="4" fontId="6" fillId="0" borderId="5" xfId="0" applyNumberFormat="1" applyFont="1" applyBorder="1"/>
    <xf numFmtId="4" fontId="6" fillId="0" borderId="2" xfId="0" applyNumberFormat="1" applyFont="1" applyBorder="1"/>
    <xf numFmtId="4" fontId="6" fillId="0" borderId="6" xfId="0" applyNumberFormat="1" applyFont="1" applyBorder="1"/>
    <xf numFmtId="0" fontId="8" fillId="0" borderId="4" xfId="0" applyFont="1" applyBorder="1"/>
    <xf numFmtId="0" fontId="5" fillId="0" borderId="5" xfId="0" applyFont="1" applyBorder="1" applyAlignment="1">
      <alignment vertical="center" wrapText="1"/>
    </xf>
    <xf numFmtId="4" fontId="7" fillId="0" borderId="12" xfId="0" applyNumberFormat="1" applyFont="1" applyBorder="1" applyAlignment="1">
      <alignment vertical="center"/>
    </xf>
    <xf numFmtId="4" fontId="5" fillId="0" borderId="12" xfId="0" applyNumberFormat="1" applyFont="1" applyBorder="1" applyAlignment="1">
      <alignment vertical="center"/>
    </xf>
    <xf numFmtId="0" fontId="8" fillId="0" borderId="13" xfId="0" applyFont="1" applyBorder="1"/>
    <xf numFmtId="0" fontId="7" fillId="0" borderId="14" xfId="0" applyFont="1" applyBorder="1"/>
    <xf numFmtId="0" fontId="7" fillId="0" borderId="14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5" fillId="0" borderId="14" xfId="0" applyFont="1" applyBorder="1"/>
    <xf numFmtId="0" fontId="1" fillId="0" borderId="0" xfId="0" applyFont="1"/>
    <xf numFmtId="0" fontId="1" fillId="0" borderId="13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3" fillId="0" borderId="13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 wrapText="1"/>
    </xf>
    <xf numFmtId="0" fontId="0" fillId="0" borderId="14" xfId="0" applyBorder="1"/>
    <xf numFmtId="0" fontId="8" fillId="0" borderId="14" xfId="0" applyFont="1" applyBorder="1"/>
    <xf numFmtId="0" fontId="8" fillId="0" borderId="7" xfId="0" applyFont="1" applyBorder="1" applyAlignment="1">
      <alignment vertical="center"/>
    </xf>
    <xf numFmtId="0" fontId="8" fillId="0" borderId="8" xfId="0" applyFont="1" applyBorder="1"/>
    <xf numFmtId="4" fontId="7" fillId="0" borderId="9" xfId="0" applyNumberFormat="1" applyFont="1" applyBorder="1" applyAlignment="1">
      <alignment vertical="center"/>
    </xf>
    <xf numFmtId="0" fontId="3" fillId="0" borderId="7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4" fontId="7" fillId="0" borderId="13" xfId="0" applyNumberFormat="1" applyFont="1" applyBorder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4" fontId="7" fillId="0" borderId="14" xfId="0" applyNumberFormat="1" applyFont="1" applyBorder="1" applyAlignment="1">
      <alignment horizontal="center" vertical="center"/>
    </xf>
    <xf numFmtId="4" fontId="6" fillId="0" borderId="9" xfId="0" applyNumberFormat="1" applyFont="1" applyBorder="1" applyAlignment="1">
      <alignment vertical="center"/>
    </xf>
    <xf numFmtId="0" fontId="8" fillId="0" borderId="1" xfId="0" applyFont="1" applyBorder="1" applyAlignment="1">
      <alignment horizontal="right"/>
    </xf>
    <xf numFmtId="0" fontId="8" fillId="0" borderId="2" xfId="0" applyFont="1" applyBorder="1" applyAlignment="1">
      <alignment horizontal="right"/>
    </xf>
    <xf numFmtId="4" fontId="7" fillId="0" borderId="7" xfId="0" applyNumberFormat="1" applyFont="1" applyBorder="1" applyAlignment="1">
      <alignment horizontal="center" vertical="center"/>
    </xf>
    <xf numFmtId="4" fontId="7" fillId="0" borderId="10" xfId="0" applyNumberFormat="1" applyFont="1" applyBorder="1" applyAlignment="1">
      <alignment horizontal="center" vertical="center"/>
    </xf>
    <xf numFmtId="4" fontId="7" fillId="0" borderId="8" xfId="0" applyNumberFormat="1" applyFont="1" applyBorder="1" applyAlignment="1">
      <alignment horizontal="center" vertical="center"/>
    </xf>
    <xf numFmtId="4" fontId="9" fillId="0" borderId="9" xfId="0" applyNumberFormat="1" applyFont="1" applyBorder="1" applyAlignment="1">
      <alignment vertical="center"/>
    </xf>
    <xf numFmtId="4" fontId="6" fillId="0" borderId="3" xfId="0" applyNumberFormat="1" applyFont="1" applyBorder="1" applyAlignment="1">
      <alignment vertical="center"/>
    </xf>
    <xf numFmtId="0" fontId="3" fillId="0" borderId="1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4" fontId="6" fillId="0" borderId="15" xfId="0" applyNumberFormat="1" applyFont="1" applyBorder="1"/>
    <xf numFmtId="4" fontId="6" fillId="0" borderId="16" xfId="0" applyNumberFormat="1" applyFont="1" applyBorder="1"/>
    <xf numFmtId="0" fontId="10" fillId="0" borderId="0" xfId="0" applyFont="1"/>
    <xf numFmtId="4" fontId="11" fillId="0" borderId="0" xfId="0" applyNumberFormat="1" applyFont="1"/>
    <xf numFmtId="4" fontId="12" fillId="0" borderId="0" xfId="0" applyNumberFormat="1" applyFont="1"/>
    <xf numFmtId="43" fontId="13" fillId="0" borderId="0" xfId="0" applyNumberFormat="1" applyFont="1"/>
    <xf numFmtId="4" fontId="13" fillId="0" borderId="0" xfId="0" applyNumberFormat="1" applyFont="1"/>
    <xf numFmtId="4" fontId="10" fillId="0" borderId="0" xfId="0" applyNumberFormat="1" applyFont="1"/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4" fontId="14" fillId="2" borderId="1" xfId="0" applyNumberFormat="1" applyFont="1" applyFill="1" applyBorder="1" applyAlignment="1">
      <alignment horizontal="center" vertical="center"/>
    </xf>
    <xf numFmtId="4" fontId="14" fillId="2" borderId="6" xfId="0" applyNumberFormat="1" applyFont="1" applyFill="1" applyBorder="1" applyAlignment="1">
      <alignment horizontal="center" vertical="center"/>
    </xf>
    <xf numFmtId="4" fontId="14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left"/>
    </xf>
    <xf numFmtId="0" fontId="3" fillId="0" borderId="0" xfId="0" applyFont="1" applyAlignment="1">
      <alignment horizontal="left"/>
    </xf>
    <xf numFmtId="4" fontId="6" fillId="0" borderId="11" xfId="0" applyNumberFormat="1" applyFont="1" applyBorder="1"/>
    <xf numFmtId="0" fontId="0" fillId="0" borderId="3" xfId="0" applyBorder="1"/>
    <xf numFmtId="0" fontId="0" fillId="0" borderId="11" xfId="0" applyBorder="1"/>
    <xf numFmtId="4" fontId="6" fillId="0" borderId="13" xfId="0" applyNumberFormat="1" applyFont="1" applyBorder="1"/>
    <xf numFmtId="4" fontId="6" fillId="0" borderId="8" xfId="0" applyNumberFormat="1" applyFont="1" applyBorder="1"/>
    <xf numFmtId="0" fontId="3" fillId="0" borderId="2" xfId="0" applyFont="1" applyBorder="1" applyAlignment="1">
      <alignment horizontal="left"/>
    </xf>
    <xf numFmtId="4" fontId="6" fillId="0" borderId="1" xfId="0" applyNumberFormat="1" applyFont="1" applyBorder="1"/>
    <xf numFmtId="0" fontId="3" fillId="0" borderId="4" xfId="0" applyFont="1" applyBorder="1"/>
    <xf numFmtId="0" fontId="3" fillId="0" borderId="5" xfId="0" applyFont="1" applyBorder="1"/>
    <xf numFmtId="4" fontId="0" fillId="0" borderId="11" xfId="0" applyNumberFormat="1" applyBorder="1"/>
    <xf numFmtId="0" fontId="7" fillId="0" borderId="0" xfId="0" applyFont="1"/>
    <xf numFmtId="4" fontId="7" fillId="0" borderId="11" xfId="0" applyNumberFormat="1" applyFont="1" applyBorder="1" applyAlignment="1">
      <alignment horizontal="right" wrapText="1"/>
    </xf>
    <xf numFmtId="4" fontId="7" fillId="0" borderId="14" xfId="0" applyNumberFormat="1" applyFont="1" applyBorder="1" applyAlignment="1">
      <alignment wrapText="1"/>
    </xf>
    <xf numFmtId="0" fontId="0" fillId="0" borderId="14" xfId="0" applyBorder="1" applyAlignment="1">
      <alignment horizontal="left"/>
    </xf>
    <xf numFmtId="0" fontId="5" fillId="0" borderId="14" xfId="0" applyFont="1" applyBorder="1" applyAlignment="1">
      <alignment horizontal="left"/>
    </xf>
    <xf numFmtId="4" fontId="0" fillId="0" borderId="11" xfId="0" applyNumberFormat="1" applyBorder="1" applyAlignment="1">
      <alignment wrapText="1"/>
    </xf>
    <xf numFmtId="0" fontId="5" fillId="0" borderId="5" xfId="0" applyFont="1" applyBorder="1"/>
    <xf numFmtId="4" fontId="7" fillId="0" borderId="5" xfId="0" applyNumberFormat="1" applyFont="1" applyBorder="1" applyAlignment="1">
      <alignment wrapText="1"/>
    </xf>
    <xf numFmtId="4" fontId="7" fillId="0" borderId="13" xfId="0" applyNumberFormat="1" applyFont="1" applyBorder="1"/>
    <xf numFmtId="0" fontId="0" fillId="0" borderId="12" xfId="0" applyBorder="1"/>
    <xf numFmtId="0" fontId="3" fillId="0" borderId="13" xfId="0" applyFont="1" applyBorder="1" applyAlignment="1">
      <alignment wrapText="1"/>
    </xf>
    <xf numFmtId="0" fontId="5" fillId="0" borderId="14" xfId="0" applyFont="1" applyBorder="1" applyAlignment="1">
      <alignment wrapText="1"/>
    </xf>
    <xf numFmtId="0" fontId="8" fillId="0" borderId="13" xfId="0" applyFont="1" applyBorder="1" applyAlignment="1">
      <alignment horizontal="left" vertical="center"/>
    </xf>
    <xf numFmtId="4" fontId="7" fillId="0" borderId="13" xfId="0" applyNumberFormat="1" applyFont="1" applyBorder="1" applyAlignment="1">
      <alignment wrapText="1"/>
    </xf>
    <xf numFmtId="0" fontId="3" fillId="0" borderId="13" xfId="0" applyFont="1" applyBorder="1" applyAlignment="1">
      <alignment horizontal="left" vertical="center" wrapText="1"/>
    </xf>
    <xf numFmtId="0" fontId="3" fillId="0" borderId="7" xfId="0" applyFont="1" applyBorder="1"/>
    <xf numFmtId="0" fontId="5" fillId="0" borderId="8" xfId="0" applyFont="1" applyBorder="1"/>
    <xf numFmtId="4" fontId="7" fillId="0" borderId="8" xfId="0" applyNumberFormat="1" applyFont="1" applyBorder="1"/>
    <xf numFmtId="0" fontId="11" fillId="0" borderId="1" xfId="0" applyFont="1" applyBorder="1"/>
    <xf numFmtId="0" fontId="15" fillId="0" borderId="3" xfId="0" applyFont="1" applyBorder="1"/>
    <xf numFmtId="4" fontId="16" fillId="0" borderId="2" xfId="0" applyNumberFormat="1" applyFont="1" applyBorder="1"/>
    <xf numFmtId="4" fontId="6" fillId="0" borderId="17" xfId="0" applyNumberFormat="1" applyFont="1" applyBorder="1"/>
    <xf numFmtId="4" fontId="6" fillId="0" borderId="18" xfId="0" applyNumberFormat="1" applyFont="1" applyBorder="1"/>
    <xf numFmtId="0" fontId="11" fillId="0" borderId="0" xfId="0" applyFont="1"/>
    <xf numFmtId="4" fontId="11" fillId="3" borderId="0" xfId="0" applyNumberFormat="1" applyFont="1" applyFill="1"/>
    <xf numFmtId="0" fontId="3" fillId="0" borderId="14" xfId="0" applyFont="1" applyBorder="1"/>
    <xf numFmtId="0" fontId="0" fillId="0" borderId="14" xfId="0" applyBorder="1" applyAlignment="1">
      <alignment vertical="center"/>
    </xf>
    <xf numFmtId="0" fontId="3" fillId="0" borderId="7" xfId="0" applyFont="1" applyBorder="1" applyAlignment="1">
      <alignment vertical="center"/>
    </xf>
    <xf numFmtId="0" fontId="5" fillId="0" borderId="8" xfId="0" applyFont="1" applyBorder="1" applyAlignment="1">
      <alignment wrapText="1"/>
    </xf>
    <xf numFmtId="0" fontId="5" fillId="0" borderId="0" xfId="0" applyFon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nologyRA\&#1041;&#1091;&#1093;&#1075;&#1072;&#1083;&#1090;&#1077;&#1088;&#1080;&#1103;\&#1041;&#1091;&#1093;&#1075;&#1072;&#1083;&#1090;&#1077;&#1088;&#1080;&#1103;\&#1041;&#1091;&#1093;&#1075;&#1072;&#1083;&#1090;&#1077;&#1088;&#1080;&#1103;\&#1040;&#1082;&#1090;&#1091;&#1072;&#1083;&#1100;&#1085;&#1099;&#1077;%20&#1074;%20&#1088;&#1072;&#1073;&#1086;&#1090;&#1077;\&#1044;&#1044;&#1057;%202025\&#1086;&#1090;&#1095;&#1077;&#1090;&#1099;%20&#1076;&#1076;&#1089;2024\&#1045;&#1046;&#1045;&#1044;&#1053;&#1045;&#1042;&#1053;&#1067;&#1049;%20&#1054;&#1058;&#1063;&#1045;&#105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.08.2024 (2)"/>
      <sheetName val="03.06.2024    (2)"/>
      <sheetName val="04.07.2024 (2)"/>
      <sheetName val="19.04.2024 (2)"/>
      <sheetName val="12.04.2024 (2)"/>
      <sheetName val="20.02.24 (2)"/>
      <sheetName val="Лист2"/>
      <sheetName val="23.01.24"/>
      <sheetName val="24.01.24"/>
      <sheetName val="25.01.24"/>
      <sheetName val="26.01.24"/>
      <sheetName val="29.01.24"/>
      <sheetName val="30.01.24"/>
      <sheetName val="31.01.24"/>
      <sheetName val="01.02.24"/>
      <sheetName val="02.02.24"/>
      <sheetName val="05.02.24"/>
      <sheetName val="06.02.24"/>
      <sheetName val="07.02.24"/>
      <sheetName val="08.02.24"/>
      <sheetName val="09.02.24"/>
      <sheetName val="12.02.24"/>
      <sheetName val="13.02.24"/>
      <sheetName val="14.02.24"/>
      <sheetName val="15.02.24"/>
      <sheetName val="16.02.24"/>
      <sheetName val="19.02.24 "/>
      <sheetName val="20.02.24 "/>
      <sheetName val="21.02.24 "/>
      <sheetName val="22.02.24 "/>
      <sheetName val="23.02.24"/>
      <sheetName val="26.02.24 "/>
      <sheetName val="27.02.24"/>
      <sheetName val="28.02.24"/>
      <sheetName val="29.02.2024"/>
      <sheetName val="01.03.2024"/>
      <sheetName val="04.03.2024 "/>
      <sheetName val="05.03.2024"/>
      <sheetName val="06.03.2024"/>
      <sheetName val="07.03.2024"/>
      <sheetName val="11.03.2024 "/>
      <sheetName val="12.03.2024 "/>
      <sheetName val="13.03.2024 "/>
      <sheetName val="14.03.2024 "/>
      <sheetName val="15.03.2024"/>
      <sheetName val="18.03.2024 "/>
      <sheetName val="19.03.2024"/>
      <sheetName val="20.03.2024 "/>
      <sheetName val="26.03.2024 "/>
      <sheetName val="27.03.2024 "/>
      <sheetName val="28.03.2024 "/>
      <sheetName val="29.03.2024 "/>
      <sheetName val="01.04.2024 "/>
      <sheetName val="02.04.2024 "/>
      <sheetName val="03.04.2024 "/>
      <sheetName val="04.04.2024 "/>
      <sheetName val="05.04.2024 "/>
      <sheetName val="08.04.2024 "/>
      <sheetName val="09.04.2024 "/>
      <sheetName val="11.04.2024 "/>
      <sheetName val="12.04.2024 "/>
      <sheetName val="15.04.2024 "/>
      <sheetName val="16.04.2024 "/>
      <sheetName val="17.04.2024 "/>
      <sheetName val="18.04.2024"/>
      <sheetName val="19.04.2024 "/>
      <sheetName val="22.04.2024"/>
      <sheetName val="23.04.2024 "/>
      <sheetName val="24.04.2024"/>
      <sheetName val="25.04.2024 "/>
      <sheetName val="26.04.2024"/>
      <sheetName val="29.04.2024"/>
      <sheetName val="30.04.2024"/>
      <sheetName val="02.05.2024  "/>
      <sheetName val="03.05.2024  "/>
      <sheetName val="04.05.2024  "/>
      <sheetName val="06.05.2024  "/>
      <sheetName val="10.05.2024 "/>
      <sheetName val="13.05.2024  "/>
      <sheetName val="14.05.2024  "/>
      <sheetName val="15.05.2024  "/>
      <sheetName val="16.05.2024 "/>
      <sheetName val="17.05.2024"/>
      <sheetName val="20.05.2024  "/>
      <sheetName val="21.05.2024  "/>
      <sheetName val="22.05.2024  "/>
      <sheetName val="23.05.2024  "/>
      <sheetName val="24.05.2024  "/>
      <sheetName val="27.05.2024  "/>
      <sheetName val="28.05.2024  "/>
      <sheetName val="29.05.2024  "/>
      <sheetName val="30.05.2024  "/>
      <sheetName val="31.05.2024   "/>
      <sheetName val="03.06.2024   "/>
      <sheetName val="04.06.2024   "/>
      <sheetName val="05.06.2024  "/>
      <sheetName val="06.06.2024  "/>
      <sheetName val="07.06.2024   "/>
      <sheetName val="10.06.2024   "/>
      <sheetName val="11.06.2024   "/>
      <sheetName val="12.06.2024  "/>
      <sheetName val="13.06.2024   "/>
      <sheetName val="14.06.2024 "/>
      <sheetName val="17.06.2024 "/>
      <sheetName val="18.06.2024 "/>
      <sheetName val="19.06.2024"/>
      <sheetName val="20.06.2024 "/>
      <sheetName val="21.06.2024"/>
      <sheetName val="24.06.2024 "/>
      <sheetName val="25.06.2024 "/>
      <sheetName val="26.06.2024"/>
      <sheetName val="27.06.2024 "/>
      <sheetName val="28.06.2024 "/>
      <sheetName val="01.07.2024 "/>
      <sheetName val="02.07.2024 "/>
      <sheetName val="03.07.2024 "/>
      <sheetName val="04.07.2024 "/>
      <sheetName val="05.07.2024 "/>
      <sheetName val="09.07.2024 "/>
      <sheetName val="10.07.2024 "/>
      <sheetName val="11.07.2024"/>
      <sheetName val="12.07.2024 "/>
      <sheetName val="15.07.2024 "/>
      <sheetName val="16.07.2024 "/>
      <sheetName val="17.07.2024 "/>
      <sheetName val="18.07.2024 "/>
      <sheetName val="19.07.2024 (2)"/>
      <sheetName val="22.07.2024 "/>
      <sheetName val="23.07.2024 "/>
      <sheetName val="24.07.2024 "/>
      <sheetName val="25.07.2024"/>
      <sheetName val="26.07.2024"/>
      <sheetName val="29.07.2024 "/>
      <sheetName val="30.07.2024 "/>
      <sheetName val="01.08.2024 "/>
      <sheetName val="02.08.2024"/>
      <sheetName val="05.08.2024 "/>
      <sheetName val="06.08.2024 "/>
      <sheetName val="07.08.2024 "/>
      <sheetName val="08.08.2024"/>
      <sheetName val="09.08.2024 "/>
      <sheetName val="12.08.2024"/>
      <sheetName val="13.08.2024 "/>
      <sheetName val="14.08.2024 "/>
      <sheetName val="15.08.2024 "/>
      <sheetName val="16.08.2024 "/>
      <sheetName val="19.08.2024"/>
      <sheetName val="20.08.2024"/>
      <sheetName val="21.08.2024 "/>
      <sheetName val="22.08.2024 "/>
      <sheetName val="23.08.2024 "/>
      <sheetName val="26.08.2024 "/>
      <sheetName val="27.08.2024  "/>
      <sheetName val="28.08.2024  "/>
      <sheetName val="29.08.2024 "/>
      <sheetName val="02.09.2024"/>
      <sheetName val="03.09.2024"/>
      <sheetName val="04.09.2024"/>
      <sheetName val="05.09.2024"/>
      <sheetName val="06.09.2024"/>
      <sheetName val="09.09.2024"/>
      <sheetName val="10.09.2024"/>
      <sheetName val="11.09.2024 "/>
      <sheetName val="12.09.2024"/>
      <sheetName val="13.09.2024"/>
      <sheetName val="16.09.2024"/>
      <sheetName val="17.09.2024"/>
      <sheetName val="18.09.2024"/>
      <sheetName val="19.09.2024"/>
      <sheetName val="20.09.2024"/>
      <sheetName val="23.09.2024"/>
      <sheetName val="24.09.2024"/>
      <sheetName val="25.09.2024"/>
      <sheetName val="26.09.2024"/>
      <sheetName val="27.09.2024"/>
      <sheetName val="30.09.2024"/>
      <sheetName val="01.10.2024"/>
      <sheetName val="02.10.2024"/>
      <sheetName val="03.10.2024"/>
      <sheetName val="04.10.2024"/>
      <sheetName val="07.10.2024"/>
      <sheetName val="08.10.2024"/>
      <sheetName val="09.10.2024"/>
      <sheetName val="10.10.2024"/>
      <sheetName val="11.10.2024"/>
      <sheetName val="14.10.2024"/>
      <sheetName val="15.10.2024"/>
      <sheetName val="16.10.2024"/>
      <sheetName val="17.10.2024"/>
      <sheetName val="18.10.2024"/>
      <sheetName val="21.10.2024"/>
      <sheetName val="22.10.2024"/>
      <sheetName val="23.10.2024"/>
      <sheetName val="24.10.2024"/>
      <sheetName val="28.10.2024"/>
      <sheetName val="29.10.2024"/>
      <sheetName val="30.10.2024"/>
      <sheetName val="31.10.2024"/>
      <sheetName val="01.11.2024"/>
      <sheetName val="04.11.2024"/>
      <sheetName val="05.11.2024"/>
      <sheetName val="06.11.2024"/>
      <sheetName val="07.11.2024"/>
      <sheetName val="08.11.2024"/>
      <sheetName val="11.11.2024"/>
      <sheetName val="12.11.2024"/>
      <sheetName val="13.11.2024"/>
      <sheetName val="14.11.2024"/>
      <sheetName val="15.11.2024"/>
      <sheetName val="18.11.2024"/>
      <sheetName val="19.11.2024"/>
      <sheetName val="20.11.2024"/>
      <sheetName val="21.11.2024"/>
      <sheetName val="22.11.2024"/>
      <sheetName val="25.11.2024"/>
      <sheetName val="26.11.2024"/>
      <sheetName val="27.11.2024"/>
      <sheetName val="28.11.2024"/>
      <sheetName val="29.11.2024"/>
      <sheetName val="02.12.2024"/>
      <sheetName val="03.12.2024"/>
      <sheetName val="04.12.2024"/>
      <sheetName val="05.12.2024"/>
      <sheetName val="06.12.2024"/>
      <sheetName val="09.12.2024"/>
      <sheetName val="10.12.2024"/>
      <sheetName val="11.12.2024"/>
      <sheetName val="12.12.2024"/>
      <sheetName val="13.12.2024"/>
      <sheetName val="17.12.2024"/>
      <sheetName val="18.12.2024"/>
      <sheetName val="19.12.2024"/>
      <sheetName val="20.12.2024"/>
      <sheetName val="23.12.2024 "/>
      <sheetName val="24.12.2024"/>
      <sheetName val="25.12.2024"/>
      <sheetName val="26.12.2024"/>
      <sheetName val="27.12.2024"/>
      <sheetName val="30.12.2024"/>
      <sheetName val="31.12.2024"/>
      <sheetName val="05.01.2025"/>
      <sheetName val="06.01.2025"/>
      <sheetName val="08.01.2025"/>
      <sheetName val="09.01.2025"/>
      <sheetName val="10.01.2025"/>
      <sheetName val="13.01.2025"/>
      <sheetName val="14.01.2025"/>
      <sheetName val="15.01.2025"/>
      <sheetName val="16.01.2025"/>
      <sheetName val="17.01.2025"/>
      <sheetName val="20.01.2025"/>
      <sheetName val="21.01.2025"/>
      <sheetName val="22.01.2025"/>
      <sheetName val="23.01.2025"/>
      <sheetName val="24.01.2025"/>
      <sheetName val="27.01.2025"/>
      <sheetName val="28.01.2025"/>
      <sheetName val="29.01.2025"/>
      <sheetName val="30.01.2025"/>
      <sheetName val="31.01.2025 "/>
      <sheetName val="03.02.2025"/>
      <sheetName val="04.02.2025"/>
      <sheetName val="05.02.2025"/>
      <sheetName val="06.02.2025"/>
      <sheetName val="07.02.2025"/>
      <sheetName val="10.02.2025"/>
      <sheetName val="11.02.2025"/>
      <sheetName val="12.02.2025 "/>
      <sheetName val="13.02.2025"/>
      <sheetName val="14.02.2025"/>
      <sheetName val="17.02.2025"/>
      <sheetName val="18.02.2025"/>
      <sheetName val="19.02.2025"/>
      <sheetName val="20.02.2025"/>
      <sheetName val="21.02.2025"/>
      <sheetName val="24.02.2025"/>
      <sheetName val="25.02.2025"/>
      <sheetName val="26.02.2025"/>
      <sheetName val="27.02.2025"/>
      <sheetName val="28.02.2025"/>
      <sheetName val="03.03.2025"/>
      <sheetName val="04.03.2025"/>
      <sheetName val="05.03.2025"/>
      <sheetName val="06.03.2025"/>
      <sheetName val="07.03.2025"/>
      <sheetName val="11.03.2025"/>
      <sheetName val="12.03.2025"/>
      <sheetName val="13.03.2025"/>
      <sheetName val="14.03.2025"/>
      <sheetName val="17.03.2025"/>
      <sheetName val="18.03.2025 "/>
      <sheetName val="19.03.2025 "/>
      <sheetName val="20.03.2025"/>
      <sheetName val="26.03.2025"/>
      <sheetName val="27.03.2025"/>
      <sheetName val="28.03.2025"/>
      <sheetName val="31.03.2025"/>
      <sheetName val="01.04.2025"/>
      <sheetName val="02.04.2025"/>
      <sheetName val="03.04.2025 "/>
      <sheetName val="04.04.2025"/>
      <sheetName val="07.04.2025"/>
      <sheetName val="08.04.2025"/>
      <sheetName val="09.04.2025"/>
      <sheetName val="10.04.2025"/>
      <sheetName val="11.04.2025"/>
      <sheetName val="14.04.2025"/>
      <sheetName val="15.04.2025"/>
      <sheetName val="16.04.2025"/>
      <sheetName val="17.04.2025"/>
      <sheetName val="18.04.2025"/>
      <sheetName val="21.04.2025"/>
      <sheetName val="22.04.2025"/>
      <sheetName val="23.04.2025"/>
      <sheetName val="24.04.2025"/>
      <sheetName val="25.04.2025"/>
      <sheetName val="28.04.2025"/>
      <sheetName val="29.04.2025"/>
      <sheetName val="30.04.2025"/>
      <sheetName val="02.05.2025"/>
      <sheetName val="05.05.2025 "/>
      <sheetName val="06.05.2025"/>
      <sheetName val="08.05.2025"/>
      <sheetName val="12.05.2025"/>
      <sheetName val="13.05.2025"/>
      <sheetName val="14.05.2025"/>
      <sheetName val="15.05.2025"/>
      <sheetName val="16.05.2025"/>
      <sheetName val="19.05.2025"/>
      <sheetName val="20.05.2025"/>
      <sheetName val="21.05.2025"/>
      <sheetName val="22.05.2025"/>
      <sheetName val="23.05.2025"/>
      <sheetName val="26.05.2025"/>
      <sheetName val="27.05.2025"/>
      <sheetName val="28.05.2025"/>
      <sheetName val="29.05.2025"/>
      <sheetName val="30.05.2025"/>
      <sheetName val="02.06.2025"/>
      <sheetName val="03.06.2025 "/>
      <sheetName val="04.06.2025"/>
      <sheetName val="05.06.2025"/>
      <sheetName val="09.06.2025"/>
      <sheetName val="10.06.2025"/>
      <sheetName val="11.06.2025"/>
      <sheetName val="12.06.2025"/>
      <sheetName val="13.06.2025"/>
      <sheetName val="16.06.2025"/>
      <sheetName val="17.06.2025"/>
      <sheetName val="18.06.2025"/>
      <sheetName val="19.06.2025"/>
      <sheetName val="20.06.2025"/>
      <sheetName val="23.06.2025"/>
      <sheetName val="24.06.2025"/>
      <sheetName val="25.06.2025"/>
      <sheetName val="26.06.2025"/>
      <sheetName val="27.06.2025"/>
      <sheetName val="30.06.2025 "/>
      <sheetName val="01.07.2025"/>
      <sheetName val="02.07.2025"/>
      <sheetName val="03.07.2025"/>
      <sheetName val="04.07.2025"/>
      <sheetName val="08.07.2025 "/>
      <sheetName val="09.07.2025"/>
      <sheetName val="10.07.2025"/>
      <sheetName val="11.07.2025"/>
      <sheetName val="14.07.2025"/>
      <sheetName val="15.07.2025"/>
      <sheetName val="16.07.2025"/>
      <sheetName val="17.07.2025 "/>
      <sheetName val="18.07.2025"/>
      <sheetName val="21.07.2025"/>
      <sheetName val="22.07.2025"/>
      <sheetName val="23.07.2025"/>
      <sheetName val="24.07.2025"/>
      <sheetName val="25.07.2025"/>
      <sheetName val="28.07.2025"/>
      <sheetName val="29.07.2025 "/>
      <sheetName val="30.07.2025"/>
      <sheetName val="31.07.2025 "/>
      <sheetName val="01.08.2025"/>
      <sheetName val="04.08.2025"/>
      <sheetName val="05.08.2025"/>
      <sheetName val="06.08.2025"/>
      <sheetName val="07.08.2025"/>
      <sheetName val="08.08.2025"/>
      <sheetName val="11.08.2025"/>
      <sheetName val="12.08.2025"/>
      <sheetName val="13.08.2025"/>
      <sheetName val="14.08.2025"/>
      <sheetName val="15.08.2025"/>
      <sheetName val="18.08.2025"/>
      <sheetName val="19.08.2025 "/>
      <sheetName val="20.08.2025"/>
      <sheetName val="21.08.2025"/>
      <sheetName val="22.08.2025"/>
      <sheetName val="25.08.2025"/>
      <sheetName val="26.08.2025"/>
      <sheetName val="27.08.2025"/>
      <sheetName val="28.08.2025"/>
      <sheetName val="29.08.2025"/>
      <sheetName val="02.09.2025"/>
      <sheetName val="03.09.2025"/>
      <sheetName val="04.09.2025"/>
      <sheetName val="05.09.2025"/>
      <sheetName val="08.09.2025"/>
      <sheetName val="09.09.2025"/>
      <sheetName val="10.09.2025"/>
      <sheetName val="11.09.2025"/>
      <sheetName val="12.09.2025"/>
      <sheetName val="15.09.2025"/>
      <sheetName val="16.09.2025"/>
      <sheetName val="17.09.2025"/>
      <sheetName val="18.09.2025"/>
      <sheetName val="19.09.2025"/>
      <sheetName val="22.09.2025"/>
      <sheetName val="23.09.2025"/>
      <sheetName val="24.09.2025"/>
      <sheetName val="25.09.2025"/>
      <sheetName val="26.09.2025"/>
      <sheetName val="29.09.2025"/>
      <sheetName val="30.09.2025"/>
      <sheetName val="01.10.2025"/>
      <sheetName val="02.10.2025"/>
      <sheetName val="03.10.2025"/>
      <sheetName val="06.10.2025"/>
      <sheetName val="07.10.2025"/>
      <sheetName val="08.10.2025"/>
      <sheetName val="09.10.2025"/>
      <sheetName val="10.10.2025"/>
      <sheetName val="13.10.2025"/>
      <sheetName val="14.10.2025"/>
      <sheetName val="15.10.2025"/>
      <sheetName val="16.10.2025"/>
      <sheetName val="17.10.2025"/>
      <sheetName val="20.10.2025"/>
      <sheetName val="21.10.2025"/>
      <sheetName val="22.10.2025"/>
      <sheetName val="23.10.2025"/>
      <sheetName val="24.10.2025"/>
      <sheetName val="28.10.2025"/>
      <sheetName val="29.10.2025"/>
      <sheetName val="30.10.2025"/>
      <sheetName val="31.10.2025"/>
      <sheetName val="03.11.2025"/>
      <sheetName val="04.11.2025"/>
      <sheetName val="05.11.2025"/>
      <sheetName val="06.11.2025"/>
      <sheetName val="07.11.2025"/>
      <sheetName val="10.11.2025"/>
      <sheetName val="11.11.2025"/>
      <sheetName val="12.11.2025"/>
      <sheetName val="13.11.2025 "/>
      <sheetName val="14.11.2025"/>
      <sheetName val="17.11.2025"/>
      <sheetName val="18.11.2025"/>
      <sheetName val="19.11.2025"/>
      <sheetName val="20.11.2025"/>
      <sheetName val="21.11.2025"/>
      <sheetName val="24.11.2025 "/>
      <sheetName val="25.11.2025 "/>
      <sheetName val="26.11.2025"/>
      <sheetName val="27.11.2025"/>
      <sheetName val="28.11.2025"/>
      <sheetName val="01.12.2025"/>
      <sheetName val="02.12.2025"/>
      <sheetName val="03.12.2025"/>
      <sheetName val="04.12.2025 "/>
      <sheetName val="05.12.2025"/>
      <sheetName val="08.12.2025 "/>
      <sheetName val="09.12.2025"/>
      <sheetName val="10.12.2025"/>
      <sheetName val="11.12.2025 "/>
      <sheetName val="12.12.2025"/>
      <sheetName val="15.12.2025"/>
      <sheetName val="17.12.2025"/>
      <sheetName val="18.12.2025"/>
      <sheetName val="19.12.2025 "/>
      <sheetName val="22.12.2025"/>
      <sheetName val="23.12.2025 "/>
      <sheetName val="24.12.2025 "/>
      <sheetName val="25.12.2025 "/>
      <sheetName val="26.12.2025"/>
      <sheetName val="29.12.2025"/>
      <sheetName val="30.12.2025"/>
      <sheetName val="31.12.2025"/>
      <sheetName val="05.01.2026"/>
      <sheetName val="06.01.2026"/>
      <sheetName val="08.01.2026"/>
      <sheetName val="09.01.2026"/>
      <sheetName val="12.01.2026"/>
      <sheetName val="13.01.2026"/>
      <sheetName val="14.01.2026"/>
      <sheetName val="15.01.2026"/>
      <sheetName val="16.01.2026"/>
      <sheetName val="19.01.2026"/>
      <sheetName val="20.01.2026"/>
      <sheetName val="21.01.2026"/>
      <sheetName val="22.01.2026"/>
      <sheetName val="23.01.2026 "/>
      <sheetName val="26.01.2026 "/>
      <sheetName val="27.01.2026"/>
      <sheetName val="28.01.2026 "/>
      <sheetName val="29.01.2026"/>
      <sheetName val="30.01.2026"/>
      <sheetName val="02.02.2026"/>
      <sheetName val="03.02.2026 "/>
      <sheetName val="04.02.2026 "/>
      <sheetName val="05.02.2026 "/>
      <sheetName val="06.02.2026 "/>
      <sheetName val="09.02.2026"/>
      <sheetName val="10.02.2026 "/>
      <sheetName val="11.02.2026"/>
      <sheetName val="12.02.2026"/>
      <sheetName val="13.02.2026"/>
      <sheetName val="16.02.2026"/>
      <sheetName val="17.02.2026 "/>
      <sheetName val="18.02.2026 "/>
      <sheetName val="19.02.2026"/>
      <sheetName val="20.02.2026 "/>
      <sheetName val="23.02.2026"/>
      <sheetName val="24.02.2026"/>
      <sheetName val="25.02.2026"/>
      <sheetName val="26.02.2026 "/>
      <sheetName val="27.02.2026"/>
      <sheetName val="02.03.2026"/>
      <sheetName val="03.03.2026 "/>
      <sheetName val="04.03.2026"/>
      <sheetName val="05.03.2026"/>
      <sheetName val="06.03.2026"/>
      <sheetName val="10.03.2026"/>
      <sheetName val="11.03.2026"/>
      <sheetName val="12.03.2026"/>
      <sheetName val="13.03.2026"/>
      <sheetName val="16.03.2026"/>
      <sheetName val="17.03.2026"/>
      <sheetName val="18.03.2026"/>
      <sheetName val="19.03.2026"/>
      <sheetName val="25.03.2026"/>
      <sheetName val="26.03.2026"/>
      <sheetName val="27.03.2026"/>
      <sheetName val="27.03.2026 (2)"/>
      <sheetName val="30.03.2026"/>
      <sheetName val="31.03.2026"/>
      <sheetName val="01.04.2026"/>
      <sheetName val="02.04.2026"/>
      <sheetName val="03.04.2026"/>
      <sheetName val="06.04.2026"/>
      <sheetName val="07.04.2026"/>
      <sheetName val="08.04.2026"/>
      <sheetName val="09.04.2026"/>
      <sheetName val="10.04.2026"/>
      <sheetName val="13.04.2026"/>
      <sheetName val="14.04.2026"/>
      <sheetName val="15.04.2026"/>
      <sheetName val="16.04.2026"/>
      <sheetName val="17.04.2026"/>
      <sheetName val="20.04.2026"/>
      <sheetName val="21.04.2026 "/>
      <sheetName val="22.04.2026"/>
      <sheetName val="23.04.2026"/>
      <sheetName val="24.04.2026"/>
      <sheetName val="27.04.2026"/>
      <sheetName val="28.04.2026"/>
      <sheetName val="29.04.2026"/>
      <sheetName val="30.04.2026"/>
      <sheetName val="04.05.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54">
          <cell r="C54" t="str">
            <v>ТОО «V L»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22"/>
  <sheetViews>
    <sheetView tabSelected="1" topLeftCell="B26" workbookViewId="0">
      <selection activeCell="L57" sqref="I57:L58"/>
    </sheetView>
  </sheetViews>
  <sheetFormatPr defaultRowHeight="15" x14ac:dyDescent="0.25"/>
  <cols>
    <col min="1" max="1" width="34.28515625" bestFit="1" customWidth="1"/>
    <col min="2" max="2" width="23" bestFit="1" customWidth="1"/>
    <col min="3" max="3" width="18.85546875" bestFit="1" customWidth="1"/>
    <col min="4" max="4" width="17" customWidth="1"/>
    <col min="5" max="5" width="19.28515625" customWidth="1"/>
    <col min="6" max="6" width="16.28515625" bestFit="1" customWidth="1"/>
    <col min="7" max="7" width="18.5703125" bestFit="1" customWidth="1"/>
    <col min="8" max="9" width="18.85546875" bestFit="1" customWidth="1"/>
    <col min="10" max="10" width="23.85546875" customWidth="1"/>
    <col min="11" max="11" width="19.42578125" bestFit="1" customWidth="1"/>
    <col min="12" max="12" width="16.85546875" customWidth="1"/>
    <col min="13" max="13" width="24.42578125" customWidth="1"/>
    <col min="14" max="14" width="20" bestFit="1" customWidth="1"/>
    <col min="15" max="15" width="16.42578125" customWidth="1"/>
    <col min="16" max="16" width="25.42578125" customWidth="1"/>
    <col min="17" max="17" width="19" bestFit="1" customWidth="1"/>
    <col min="18" max="18" width="18.140625" bestFit="1" customWidth="1"/>
    <col min="19" max="19" width="14.85546875" bestFit="1" customWidth="1"/>
    <col min="20" max="20" width="12.85546875" customWidth="1"/>
  </cols>
  <sheetData>
    <row r="2" spans="1:17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s="2" customFormat="1" ht="15.75" thickBot="1" x14ac:dyDescent="0.3"/>
    <row r="4" spans="1:17" ht="15.75" thickBot="1" x14ac:dyDescent="0.3">
      <c r="A4" s="3" t="s">
        <v>1</v>
      </c>
      <c r="B4" s="4"/>
      <c r="D4" s="5" t="s">
        <v>2</v>
      </c>
      <c r="E4" s="6"/>
      <c r="G4" s="5" t="s">
        <v>3</v>
      </c>
      <c r="H4" s="6"/>
      <c r="J4" s="5" t="s">
        <v>4</v>
      </c>
      <c r="K4" s="6"/>
      <c r="M4" s="5" t="s">
        <v>5</v>
      </c>
      <c r="N4" s="6"/>
      <c r="P4" s="5" t="s">
        <v>6</v>
      </c>
      <c r="Q4" s="6"/>
    </row>
    <row r="5" spans="1:17" ht="29.25" thickBot="1" x14ac:dyDescent="0.3">
      <c r="A5" s="7" t="s">
        <v>7</v>
      </c>
      <c r="B5" s="8"/>
      <c r="D5" s="9" t="s">
        <v>8</v>
      </c>
      <c r="E5" s="8"/>
      <c r="G5" s="9" t="s">
        <v>9</v>
      </c>
      <c r="H5" s="8"/>
      <c r="J5" s="9" t="s">
        <v>10</v>
      </c>
      <c r="K5" s="8"/>
      <c r="M5" s="9" t="s">
        <v>11</v>
      </c>
      <c r="N5" s="8"/>
      <c r="P5" s="9" t="s">
        <v>12</v>
      </c>
      <c r="Q5" s="8"/>
    </row>
    <row r="6" spans="1:17" ht="29.25" thickBot="1" x14ac:dyDescent="0.3">
      <c r="A6" s="7" t="s">
        <v>13</v>
      </c>
      <c r="B6" s="8"/>
      <c r="D6" s="9" t="s">
        <v>14</v>
      </c>
      <c r="E6" s="8"/>
      <c r="G6" s="9" t="s">
        <v>15</v>
      </c>
      <c r="H6" s="8"/>
      <c r="J6" s="9" t="s">
        <v>16</v>
      </c>
      <c r="K6" s="8"/>
      <c r="M6" s="9" t="s">
        <v>17</v>
      </c>
      <c r="N6" s="8"/>
      <c r="P6" s="9" t="s">
        <v>18</v>
      </c>
      <c r="Q6" s="8"/>
    </row>
    <row r="7" spans="1:17" ht="43.5" thickBot="1" x14ac:dyDescent="0.3">
      <c r="A7" s="7" t="s">
        <v>19</v>
      </c>
      <c r="B7" s="8"/>
      <c r="D7" s="9" t="s">
        <v>20</v>
      </c>
      <c r="E7" s="8"/>
      <c r="G7" s="10" t="s">
        <v>21</v>
      </c>
      <c r="H7" s="8"/>
      <c r="J7" s="5" t="s">
        <v>22</v>
      </c>
      <c r="K7" s="11">
        <f>SUM(K5:K6)</f>
        <v>0</v>
      </c>
      <c r="M7" s="5" t="s">
        <v>22</v>
      </c>
      <c r="N7" s="11">
        <f>SUM(N5:N6)</f>
        <v>0</v>
      </c>
      <c r="P7" s="9" t="s">
        <v>23</v>
      </c>
      <c r="Q7" s="8"/>
    </row>
    <row r="8" spans="1:17" ht="43.5" thickBot="1" x14ac:dyDescent="0.3">
      <c r="A8" s="7" t="s">
        <v>24</v>
      </c>
      <c r="B8" s="8"/>
      <c r="D8" s="9" t="s">
        <v>25</v>
      </c>
      <c r="E8" s="8"/>
      <c r="G8" s="9" t="s">
        <v>26</v>
      </c>
      <c r="H8" s="8"/>
      <c r="J8" s="12" t="s">
        <v>27</v>
      </c>
      <c r="K8" s="11">
        <f>SUM(K6)</f>
        <v>0</v>
      </c>
      <c r="M8" s="12" t="s">
        <v>27</v>
      </c>
      <c r="N8" s="11">
        <f>SUM(N6)</f>
        <v>0</v>
      </c>
      <c r="P8" s="5" t="s">
        <v>22</v>
      </c>
      <c r="Q8" s="11">
        <f>SUM(Q6:Q7)</f>
        <v>0</v>
      </c>
    </row>
    <row r="9" spans="1:17" ht="43.5" thickBot="1" x14ac:dyDescent="0.3">
      <c r="A9" s="13" t="s">
        <v>28</v>
      </c>
      <c r="B9" s="8"/>
      <c r="D9" s="13" t="s">
        <v>29</v>
      </c>
      <c r="E9" s="8"/>
      <c r="G9" s="13" t="s">
        <v>30</v>
      </c>
      <c r="H9" s="8"/>
      <c r="J9" s="14"/>
      <c r="K9" s="15"/>
      <c r="M9" s="14"/>
      <c r="N9" s="15"/>
      <c r="P9" s="12" t="s">
        <v>27</v>
      </c>
      <c r="Q9" s="11">
        <f>SUM(Q5:Q7)</f>
        <v>0</v>
      </c>
    </row>
    <row r="10" spans="1:17" ht="29.25" thickBot="1" x14ac:dyDescent="0.3">
      <c r="A10" s="13" t="s">
        <v>31</v>
      </c>
      <c r="B10" s="8"/>
      <c r="D10" s="5" t="s">
        <v>22</v>
      </c>
      <c r="E10" s="11">
        <f>SUM(E5:E9)</f>
        <v>0</v>
      </c>
      <c r="G10" s="5" t="s">
        <v>22</v>
      </c>
      <c r="H10" s="11">
        <f>SUM(H5:H9)</f>
        <v>0</v>
      </c>
    </row>
    <row r="11" spans="1:17" ht="29.25" thickBot="1" x14ac:dyDescent="0.3">
      <c r="A11" s="13" t="s">
        <v>32</v>
      </c>
      <c r="B11" s="8"/>
      <c r="D11" s="12" t="s">
        <v>27</v>
      </c>
      <c r="E11" s="11">
        <f>SUM(E5:E9)</f>
        <v>0</v>
      </c>
      <c r="G11" s="12" t="s">
        <v>27</v>
      </c>
      <c r="H11" s="11">
        <f>SUM(H5:H9)</f>
        <v>0</v>
      </c>
      <c r="I11" s="16"/>
    </row>
    <row r="12" spans="1:17" ht="15.75" thickBot="1" x14ac:dyDescent="0.3">
      <c r="A12" s="5" t="s">
        <v>33</v>
      </c>
      <c r="B12" s="11">
        <f>SUM(B5:B11)</f>
        <v>0</v>
      </c>
      <c r="F12" s="16"/>
      <c r="G12" s="16"/>
    </row>
    <row r="13" spans="1:17" ht="15.75" thickBot="1" x14ac:dyDescent="0.3">
      <c r="A13" s="5" t="s">
        <v>27</v>
      </c>
      <c r="B13" s="11">
        <f>SUM(B6:B11)</f>
        <v>0</v>
      </c>
      <c r="C13" s="16"/>
      <c r="D13" s="16"/>
      <c r="F13" s="16"/>
      <c r="G13" s="16"/>
    </row>
    <row r="14" spans="1:17" ht="15.75" thickBot="1" x14ac:dyDescent="0.3">
      <c r="A14" s="17"/>
      <c r="D14" s="18"/>
      <c r="E14" s="16"/>
      <c r="G14" s="16"/>
    </row>
    <row r="15" spans="1:17" ht="15.75" thickBot="1" x14ac:dyDescent="0.3">
      <c r="A15" s="19" t="s">
        <v>34</v>
      </c>
      <c r="B15" s="20"/>
      <c r="C15" s="21"/>
      <c r="E15" s="16"/>
      <c r="F15" s="16"/>
    </row>
    <row r="16" spans="1:17" x14ac:dyDescent="0.25">
      <c r="A16" s="22"/>
      <c r="B16" s="23"/>
      <c r="D16" s="24"/>
      <c r="E16" s="16"/>
      <c r="F16" s="16"/>
    </row>
    <row r="17" spans="1:14" x14ac:dyDescent="0.25">
      <c r="B17" s="25"/>
      <c r="C17" s="25"/>
      <c r="F17" s="16"/>
    </row>
    <row r="18" spans="1:14" ht="15.75" thickBot="1" x14ac:dyDescent="0.3">
      <c r="A18" s="26" t="s">
        <v>35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7"/>
    </row>
    <row r="19" spans="1:14" ht="15.75" thickBot="1" x14ac:dyDescent="0.3">
      <c r="A19" s="28" t="s">
        <v>36</v>
      </c>
      <c r="B19" s="29"/>
      <c r="C19" s="30" t="s">
        <v>37</v>
      </c>
      <c r="D19" s="31"/>
      <c r="E19" s="31"/>
      <c r="F19" s="32"/>
      <c r="G19" s="33" t="s">
        <v>38</v>
      </c>
      <c r="H19" s="34" t="s">
        <v>39</v>
      </c>
      <c r="I19" s="35" t="s">
        <v>40</v>
      </c>
      <c r="J19" s="36"/>
      <c r="K19" s="36"/>
      <c r="L19" s="37"/>
    </row>
    <row r="20" spans="1:14" ht="15.75" thickBot="1" x14ac:dyDescent="0.3">
      <c r="A20" s="38"/>
      <c r="B20" s="39"/>
      <c r="C20" s="40" t="s">
        <v>41</v>
      </c>
      <c r="D20" s="33" t="s">
        <v>42</v>
      </c>
      <c r="E20" s="33" t="s">
        <v>43</v>
      </c>
      <c r="F20" s="33" t="s">
        <v>44</v>
      </c>
      <c r="G20" s="33" t="s">
        <v>45</v>
      </c>
      <c r="H20" s="34" t="s">
        <v>46</v>
      </c>
      <c r="I20" s="33" t="s">
        <v>47</v>
      </c>
      <c r="J20" s="33" t="s">
        <v>48</v>
      </c>
      <c r="K20" s="33" t="s">
        <v>49</v>
      </c>
      <c r="L20" s="33" t="s">
        <v>50</v>
      </c>
    </row>
    <row r="21" spans="1:14" ht="15.75" thickBot="1" x14ac:dyDescent="0.3">
      <c r="A21" s="41"/>
      <c r="B21" s="42" t="s">
        <v>51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</row>
    <row r="22" spans="1:14" ht="15.75" thickBot="1" x14ac:dyDescent="0.3">
      <c r="A22" s="44"/>
      <c r="B22" s="45"/>
      <c r="C22" s="46"/>
      <c r="D22" s="47"/>
      <c r="E22" s="47"/>
      <c r="F22" s="47"/>
      <c r="G22" s="47"/>
      <c r="H22" s="47"/>
      <c r="I22" s="43"/>
      <c r="J22" s="43"/>
      <c r="K22" s="43"/>
      <c r="L22" s="43"/>
    </row>
    <row r="23" spans="1:14" ht="15.75" thickBot="1" x14ac:dyDescent="0.3">
      <c r="A23" s="48" t="s">
        <v>52</v>
      </c>
      <c r="B23" s="49"/>
      <c r="C23" s="50">
        <f t="shared" ref="C23:L23" si="0">SUM(C24:C35)</f>
        <v>0</v>
      </c>
      <c r="D23" s="50">
        <f t="shared" si="0"/>
        <v>0</v>
      </c>
      <c r="E23" s="50">
        <f t="shared" si="0"/>
        <v>0</v>
      </c>
      <c r="F23" s="50">
        <f t="shared" si="0"/>
        <v>0</v>
      </c>
      <c r="G23" s="50">
        <f t="shared" si="0"/>
        <v>0</v>
      </c>
      <c r="H23" s="50">
        <f t="shared" si="0"/>
        <v>0</v>
      </c>
      <c r="I23" s="50">
        <f t="shared" si="0"/>
        <v>0</v>
      </c>
      <c r="J23" s="50">
        <f t="shared" si="0"/>
        <v>0</v>
      </c>
      <c r="K23" s="50">
        <f t="shared" si="0"/>
        <v>0</v>
      </c>
      <c r="L23" s="50">
        <f t="shared" si="0"/>
        <v>0</v>
      </c>
    </row>
    <row r="24" spans="1:14" x14ac:dyDescent="0.25">
      <c r="A24" s="51" t="s">
        <v>53</v>
      </c>
      <c r="B24" s="52"/>
      <c r="C24" s="53"/>
      <c r="D24" s="54"/>
      <c r="E24" s="55"/>
      <c r="F24" s="55"/>
      <c r="G24" s="56"/>
      <c r="H24" s="57"/>
      <c r="I24" s="58"/>
      <c r="J24" s="59"/>
      <c r="K24" s="59"/>
      <c r="L24" s="59"/>
    </row>
    <row r="25" spans="1:14" s="65" customFormat="1" x14ac:dyDescent="0.25">
      <c r="A25" s="60" t="s">
        <v>54</v>
      </c>
      <c r="B25" s="61"/>
      <c r="C25" s="62"/>
      <c r="D25" s="54"/>
      <c r="E25" s="59"/>
      <c r="F25" s="63"/>
      <c r="G25" s="58"/>
      <c r="H25" s="64"/>
      <c r="I25" s="59"/>
      <c r="J25" s="59"/>
      <c r="K25" s="59"/>
      <c r="L25" s="59"/>
    </row>
    <row r="26" spans="1:14" s="65" customFormat="1" ht="30" x14ac:dyDescent="0.25">
      <c r="A26" s="66" t="s">
        <v>55</v>
      </c>
      <c r="B26" s="61" t="s">
        <v>56</v>
      </c>
      <c r="C26" s="62"/>
      <c r="D26" s="67"/>
      <c r="E26" s="59"/>
      <c r="F26" s="63"/>
      <c r="G26" s="58"/>
      <c r="H26" s="64"/>
      <c r="I26" s="59"/>
      <c r="J26" s="59"/>
      <c r="K26" s="59"/>
      <c r="L26" s="59"/>
    </row>
    <row r="27" spans="1:14" s="22" customFormat="1" x14ac:dyDescent="0.25">
      <c r="A27" s="68" t="s">
        <v>57</v>
      </c>
      <c r="B27" s="61"/>
      <c r="C27" s="69"/>
      <c r="D27" s="70"/>
      <c r="E27" s="58"/>
      <c r="F27" s="71"/>
      <c r="G27" s="58"/>
      <c r="H27" s="72"/>
      <c r="I27" s="59"/>
      <c r="J27" s="59"/>
      <c r="K27" s="59"/>
      <c r="L27" s="59"/>
    </row>
    <row r="28" spans="1:14" x14ac:dyDescent="0.25">
      <c r="A28" s="73" t="s">
        <v>58</v>
      </c>
      <c r="B28" s="61"/>
      <c r="C28" s="74"/>
      <c r="D28" s="74"/>
      <c r="E28" s="75"/>
      <c r="F28" s="75"/>
      <c r="G28" s="76"/>
      <c r="H28" s="77"/>
      <c r="I28" s="58"/>
      <c r="J28" s="58"/>
      <c r="K28" s="58"/>
      <c r="L28" s="58"/>
    </row>
    <row r="29" spans="1:14" x14ac:dyDescent="0.25">
      <c r="A29" s="78" t="s">
        <v>59</v>
      </c>
      <c r="B29" s="61"/>
      <c r="C29" s="74"/>
      <c r="D29" s="59"/>
      <c r="E29" s="75"/>
      <c r="F29" s="75"/>
      <c r="G29" s="76"/>
      <c r="H29" s="77"/>
      <c r="I29" s="58"/>
      <c r="J29" s="58"/>
      <c r="K29" s="58"/>
      <c r="L29" s="58"/>
    </row>
    <row r="30" spans="1:14" s="65" customFormat="1" x14ac:dyDescent="0.25">
      <c r="A30" s="60" t="s">
        <v>60</v>
      </c>
      <c r="B30" s="79"/>
      <c r="C30" s="74"/>
      <c r="D30" s="74"/>
      <c r="E30" s="58"/>
      <c r="F30" s="80"/>
      <c r="G30" s="58"/>
      <c r="H30" s="81"/>
      <c r="I30" s="59"/>
      <c r="J30" s="58"/>
      <c r="K30" s="58"/>
      <c r="L30" s="58"/>
    </row>
    <row r="31" spans="1:14" s="65" customFormat="1" x14ac:dyDescent="0.25">
      <c r="A31" s="60" t="s">
        <v>61</v>
      </c>
      <c r="B31" s="79"/>
      <c r="C31" s="74"/>
      <c r="D31" s="74"/>
      <c r="E31" s="58"/>
      <c r="F31" s="80"/>
      <c r="G31" s="58"/>
      <c r="H31" s="81"/>
      <c r="I31" s="58"/>
      <c r="J31" s="58"/>
      <c r="K31" s="58"/>
      <c r="L31" s="58"/>
    </row>
    <row r="32" spans="1:14" s="65" customFormat="1" x14ac:dyDescent="0.25">
      <c r="A32" s="60" t="s">
        <v>62</v>
      </c>
      <c r="B32" s="79"/>
      <c r="C32" s="74"/>
      <c r="D32" s="74"/>
      <c r="E32" s="80"/>
      <c r="F32" s="80"/>
      <c r="G32" s="58"/>
      <c r="H32" s="64"/>
      <c r="I32" s="58"/>
      <c r="J32" s="58"/>
      <c r="K32" s="58"/>
      <c r="L32" s="58"/>
    </row>
    <row r="33" spans="1:12" s="83" customFormat="1" x14ac:dyDescent="0.25">
      <c r="A33" s="68" t="s">
        <v>63</v>
      </c>
      <c r="B33" s="61"/>
      <c r="C33" s="72"/>
      <c r="D33" s="72"/>
      <c r="E33" s="54"/>
      <c r="F33" s="54"/>
      <c r="G33" s="82"/>
      <c r="H33" s="69"/>
      <c r="I33" s="58"/>
      <c r="J33" s="58"/>
      <c r="K33" s="58"/>
      <c r="L33" s="58"/>
    </row>
    <row r="34" spans="1:12" s="83" customFormat="1" x14ac:dyDescent="0.25">
      <c r="A34" s="68" t="s">
        <v>64</v>
      </c>
      <c r="B34" s="61"/>
      <c r="C34" s="72"/>
      <c r="D34" s="72"/>
      <c r="E34" s="54"/>
      <c r="F34" s="54"/>
      <c r="G34" s="82"/>
      <c r="H34" s="84"/>
      <c r="I34" s="58"/>
      <c r="J34" s="58"/>
      <c r="K34" s="58"/>
      <c r="L34" s="58"/>
    </row>
    <row r="35" spans="1:12" s="83" customFormat="1" ht="15.75" thickBot="1" x14ac:dyDescent="0.3">
      <c r="A35" s="68" t="s">
        <v>65</v>
      </c>
      <c r="B35" s="72"/>
      <c r="C35" s="72"/>
      <c r="D35" s="72"/>
      <c r="E35" s="72"/>
      <c r="F35" s="54"/>
      <c r="G35" s="82"/>
      <c r="H35" s="84"/>
      <c r="I35" s="58"/>
      <c r="J35" s="58"/>
      <c r="K35" s="58"/>
      <c r="L35" s="58"/>
    </row>
    <row r="36" spans="1:12" ht="15.75" thickBot="1" x14ac:dyDescent="0.3">
      <c r="A36" s="42" t="s">
        <v>66</v>
      </c>
      <c r="B36" s="85"/>
      <c r="C36" s="86">
        <f t="shared" ref="C36:L36" si="1">SUM(C37:C56)</f>
        <v>0</v>
      </c>
      <c r="D36" s="87">
        <f t="shared" si="1"/>
        <v>0</v>
      </c>
      <c r="E36" s="50">
        <f t="shared" si="1"/>
        <v>0</v>
      </c>
      <c r="F36" s="50">
        <f t="shared" si="1"/>
        <v>0</v>
      </c>
      <c r="G36" s="50">
        <f t="shared" si="1"/>
        <v>0</v>
      </c>
      <c r="H36" s="88">
        <f t="shared" si="1"/>
        <v>0</v>
      </c>
      <c r="I36" s="50">
        <f t="shared" si="1"/>
        <v>0</v>
      </c>
      <c r="J36" s="50">
        <f t="shared" si="1"/>
        <v>0</v>
      </c>
      <c r="K36" s="50">
        <f t="shared" si="1"/>
        <v>0</v>
      </c>
      <c r="L36" s="50">
        <f t="shared" si="1"/>
        <v>0</v>
      </c>
    </row>
    <row r="37" spans="1:12" x14ac:dyDescent="0.25">
      <c r="A37" s="89" t="s">
        <v>67</v>
      </c>
      <c r="B37" s="90"/>
      <c r="C37" s="91"/>
      <c r="D37" s="91"/>
      <c r="E37" s="91"/>
      <c r="F37" s="91"/>
      <c r="G37" s="91"/>
      <c r="H37" s="92"/>
      <c r="I37" s="91"/>
      <c r="J37" s="91"/>
      <c r="K37" s="91"/>
      <c r="L37" s="91"/>
    </row>
    <row r="38" spans="1:12" x14ac:dyDescent="0.25">
      <c r="A38" s="78" t="s">
        <v>68</v>
      </c>
      <c r="B38" s="61"/>
      <c r="C38" s="59"/>
      <c r="D38" s="59"/>
      <c r="E38" s="59"/>
      <c r="F38" s="59"/>
      <c r="G38" s="59"/>
      <c r="H38" s="58"/>
      <c r="I38" s="59"/>
      <c r="J38" s="59"/>
      <c r="K38" s="59"/>
      <c r="L38" s="59"/>
    </row>
    <row r="39" spans="1:12" x14ac:dyDescent="0.25">
      <c r="A39" s="78" t="s">
        <v>69</v>
      </c>
      <c r="B39" s="61"/>
      <c r="C39" s="59"/>
      <c r="D39" s="59"/>
      <c r="E39" s="59"/>
      <c r="F39" s="59"/>
      <c r="G39" s="59"/>
      <c r="H39" s="58"/>
      <c r="I39" s="59"/>
      <c r="J39" s="59"/>
      <c r="K39" s="59"/>
      <c r="L39" s="59"/>
    </row>
    <row r="40" spans="1:12" x14ac:dyDescent="0.25">
      <c r="A40" s="78" t="s">
        <v>4</v>
      </c>
      <c r="B40" s="61"/>
      <c r="C40" s="59"/>
      <c r="D40" s="59"/>
      <c r="E40" s="59"/>
      <c r="F40" s="59"/>
      <c r="G40" s="59"/>
      <c r="H40" s="58"/>
      <c r="I40" s="59"/>
      <c r="J40" s="59"/>
      <c r="K40" s="59"/>
      <c r="L40" s="59"/>
    </row>
    <row r="41" spans="1:12" x14ac:dyDescent="0.25">
      <c r="A41" s="93" t="s">
        <v>70</v>
      </c>
      <c r="B41" s="94"/>
      <c r="C41" s="80"/>
      <c r="D41" s="59"/>
      <c r="E41" s="58"/>
      <c r="F41" s="59"/>
      <c r="G41" s="59"/>
      <c r="H41" s="59"/>
      <c r="I41" s="59"/>
      <c r="J41" s="59"/>
      <c r="K41" s="59"/>
      <c r="L41" s="59"/>
    </row>
    <row r="42" spans="1:12" x14ac:dyDescent="0.25">
      <c r="A42" s="93" t="s">
        <v>71</v>
      </c>
      <c r="B42" s="94"/>
      <c r="C42" s="59"/>
      <c r="D42" s="59"/>
      <c r="E42" s="59"/>
      <c r="F42" s="59"/>
      <c r="G42" s="59"/>
      <c r="H42" s="58"/>
      <c r="I42" s="59"/>
      <c r="J42" s="59"/>
      <c r="K42" s="59"/>
      <c r="L42" s="59"/>
    </row>
    <row r="43" spans="1:12" x14ac:dyDescent="0.25">
      <c r="A43" s="66" t="s">
        <v>72</v>
      </c>
      <c r="B43" s="95" t="s">
        <v>73</v>
      </c>
      <c r="C43" s="59"/>
      <c r="D43" s="59"/>
      <c r="E43" s="59"/>
      <c r="F43" s="59"/>
      <c r="G43" s="59"/>
      <c r="H43" s="58"/>
      <c r="I43" s="59"/>
      <c r="J43" s="59"/>
      <c r="K43" s="59"/>
      <c r="L43" s="59"/>
    </row>
    <row r="44" spans="1:12" s="98" customFormat="1" x14ac:dyDescent="0.25">
      <c r="A44" s="96" t="s">
        <v>74</v>
      </c>
      <c r="B44" s="97"/>
      <c r="C44" s="58"/>
      <c r="D44" s="58"/>
      <c r="E44" s="58"/>
      <c r="F44" s="58"/>
      <c r="G44" s="58"/>
      <c r="H44" s="58"/>
      <c r="I44" s="58"/>
      <c r="J44" s="58"/>
      <c r="K44" s="58"/>
      <c r="L44" s="58"/>
    </row>
    <row r="45" spans="1:12" s="22" customFormat="1" ht="36" customHeight="1" x14ac:dyDescent="0.25">
      <c r="A45" s="99" t="s">
        <v>75</v>
      </c>
      <c r="B45" s="100" t="s">
        <v>76</v>
      </c>
      <c r="C45" s="58"/>
      <c r="D45" s="58"/>
      <c r="E45" s="58"/>
      <c r="F45" s="58"/>
      <c r="G45" s="58"/>
      <c r="H45" s="58"/>
      <c r="I45" s="58"/>
      <c r="J45" s="58"/>
      <c r="K45" s="58"/>
      <c r="L45" s="58"/>
    </row>
    <row r="46" spans="1:12" s="22" customFormat="1" ht="16.5" customHeight="1" x14ac:dyDescent="0.25">
      <c r="A46" s="66" t="s">
        <v>77</v>
      </c>
      <c r="B46" s="100" t="s">
        <v>78</v>
      </c>
      <c r="C46" s="58"/>
      <c r="D46" s="58"/>
      <c r="E46" s="58"/>
      <c r="F46" s="58"/>
      <c r="G46" s="58"/>
      <c r="H46" s="58"/>
      <c r="I46" s="58"/>
      <c r="J46" s="58"/>
      <c r="K46" s="58"/>
      <c r="L46" s="58"/>
    </row>
    <row r="47" spans="1:12" s="22" customFormat="1" ht="45" x14ac:dyDescent="0.25">
      <c r="A47" s="66" t="s">
        <v>77</v>
      </c>
      <c r="B47" s="61" t="s">
        <v>79</v>
      </c>
      <c r="C47" s="58"/>
      <c r="D47" s="58"/>
      <c r="E47" s="58"/>
      <c r="F47" s="58"/>
      <c r="G47" s="58"/>
      <c r="H47" s="58"/>
      <c r="I47" s="58"/>
      <c r="J47" s="58"/>
      <c r="K47" s="58"/>
      <c r="L47" s="58"/>
    </row>
    <row r="48" spans="1:12" s="22" customFormat="1" ht="30" x14ac:dyDescent="0.25">
      <c r="A48" s="66" t="s">
        <v>80</v>
      </c>
      <c r="B48" s="61" t="s">
        <v>81</v>
      </c>
      <c r="C48" s="58"/>
      <c r="D48" s="58"/>
      <c r="E48" s="58"/>
      <c r="F48" s="58"/>
      <c r="G48" s="58"/>
      <c r="H48" s="58"/>
      <c r="I48" s="58"/>
      <c r="J48" s="58"/>
      <c r="K48" s="58"/>
      <c r="L48" s="58"/>
    </row>
    <row r="49" spans="1:14" s="22" customFormat="1" x14ac:dyDescent="0.25">
      <c r="A49" s="66" t="s">
        <v>82</v>
      </c>
      <c r="B49" s="100" t="s">
        <v>78</v>
      </c>
      <c r="C49" s="58"/>
      <c r="D49" s="58"/>
      <c r="E49" s="58"/>
      <c r="F49" s="58"/>
      <c r="G49" s="58"/>
      <c r="H49" s="58"/>
      <c r="I49" s="58"/>
      <c r="J49" s="58"/>
      <c r="K49" s="58"/>
      <c r="L49" s="58"/>
    </row>
    <row r="50" spans="1:14" s="98" customFormat="1" x14ac:dyDescent="0.25">
      <c r="A50" s="101" t="s">
        <v>83</v>
      </c>
      <c r="B50" s="97"/>
      <c r="C50" s="58"/>
      <c r="D50" s="58"/>
      <c r="E50" s="54"/>
      <c r="F50" s="58"/>
      <c r="G50" s="58"/>
      <c r="H50" s="58"/>
      <c r="I50" s="58"/>
      <c r="J50" s="58"/>
      <c r="K50" s="58"/>
      <c r="L50" s="58"/>
    </row>
    <row r="51" spans="1:14" s="98" customFormat="1" x14ac:dyDescent="0.25">
      <c r="A51" s="60" t="s">
        <v>84</v>
      </c>
      <c r="B51" s="97" t="s">
        <v>85</v>
      </c>
      <c r="C51" s="58"/>
      <c r="D51" s="58"/>
      <c r="E51" s="72"/>
      <c r="F51" s="58"/>
      <c r="G51" s="58"/>
      <c r="H51" s="58"/>
      <c r="I51" s="58"/>
      <c r="J51" s="58"/>
      <c r="K51" s="58"/>
      <c r="L51" s="58"/>
    </row>
    <row r="52" spans="1:14" s="65" customFormat="1" x14ac:dyDescent="0.25">
      <c r="A52" s="101" t="s">
        <v>86</v>
      </c>
      <c r="B52" s="102"/>
      <c r="C52" s="59"/>
      <c r="D52" s="59"/>
      <c r="E52" s="62"/>
      <c r="F52" s="16"/>
      <c r="G52" s="58"/>
      <c r="H52" s="58"/>
      <c r="I52" s="59"/>
      <c r="J52" s="59"/>
      <c r="K52" s="59"/>
      <c r="L52" s="59"/>
    </row>
    <row r="53" spans="1:14" x14ac:dyDescent="0.25">
      <c r="A53" s="93" t="s">
        <v>87</v>
      </c>
      <c r="B53" s="100"/>
      <c r="C53" s="59"/>
      <c r="D53" s="59"/>
      <c r="E53" s="59"/>
      <c r="F53" s="59"/>
      <c r="G53" s="59"/>
      <c r="H53" s="59"/>
      <c r="I53" s="59"/>
      <c r="J53" s="59"/>
      <c r="K53" s="59"/>
      <c r="L53" s="59"/>
    </row>
    <row r="54" spans="1:14" x14ac:dyDescent="0.25">
      <c r="A54" s="93" t="s">
        <v>88</v>
      </c>
      <c r="B54" s="103"/>
      <c r="C54" s="59"/>
      <c r="D54" s="59"/>
      <c r="E54" s="59"/>
      <c r="F54" s="59"/>
      <c r="G54" s="59"/>
      <c r="H54" s="59"/>
      <c r="I54" s="59"/>
      <c r="J54" s="59"/>
      <c r="K54" s="59"/>
      <c r="L54" s="59"/>
    </row>
    <row r="55" spans="1:14" x14ac:dyDescent="0.25">
      <c r="A55" s="93" t="s">
        <v>62</v>
      </c>
      <c r="B55" s="104"/>
      <c r="C55" s="59"/>
      <c r="D55" s="59"/>
      <c r="E55" s="59"/>
      <c r="F55" s="59"/>
      <c r="G55" s="59"/>
      <c r="H55" s="59"/>
      <c r="I55" s="59"/>
      <c r="J55" s="59"/>
      <c r="K55" s="59"/>
      <c r="L55" s="59"/>
    </row>
    <row r="56" spans="1:14" ht="15.75" thickBot="1" x14ac:dyDescent="0.3">
      <c r="A56" s="105" t="s">
        <v>89</v>
      </c>
      <c r="B56" s="106"/>
      <c r="C56" s="107"/>
      <c r="D56" s="107"/>
      <c r="E56" s="107"/>
      <c r="F56" s="107"/>
      <c r="G56" s="107"/>
      <c r="H56" s="107"/>
      <c r="I56" s="107"/>
      <c r="J56" s="107"/>
      <c r="K56" s="107"/>
      <c r="L56" s="107"/>
    </row>
    <row r="57" spans="1:14" ht="15.75" thickBot="1" x14ac:dyDescent="0.3">
      <c r="A57" s="108" t="s">
        <v>90</v>
      </c>
      <c r="B57" s="109"/>
      <c r="C57" s="110"/>
      <c r="D57" s="111"/>
      <c r="E57" s="111"/>
      <c r="F57" s="111"/>
      <c r="G57" s="111"/>
      <c r="H57" s="112"/>
      <c r="I57" s="113"/>
      <c r="J57" s="113"/>
      <c r="K57" s="113"/>
      <c r="L57" s="113"/>
    </row>
    <row r="58" spans="1:14" ht="15.75" thickBot="1" x14ac:dyDescent="0.3">
      <c r="A58" s="114" t="s">
        <v>91</v>
      </c>
      <c r="B58" s="115"/>
      <c r="C58" s="116"/>
      <c r="D58" s="117"/>
      <c r="E58" s="117"/>
      <c r="F58" s="117"/>
      <c r="G58" s="117"/>
      <c r="H58" s="118"/>
      <c r="I58" s="119"/>
      <c r="J58" s="120"/>
      <c r="K58" s="107"/>
      <c r="L58" s="120"/>
    </row>
    <row r="59" spans="1:14" ht="15.75" thickBot="1" x14ac:dyDescent="0.3">
      <c r="A59" s="121" t="s">
        <v>92</v>
      </c>
      <c r="B59" s="122"/>
      <c r="C59" s="50">
        <f t="shared" ref="C59:L59" si="2">C21+C23-C36</f>
        <v>0</v>
      </c>
      <c r="D59" s="50">
        <f t="shared" si="2"/>
        <v>0</v>
      </c>
      <c r="E59" s="50">
        <f t="shared" si="2"/>
        <v>0</v>
      </c>
      <c r="F59" s="50">
        <f t="shared" si="2"/>
        <v>0</v>
      </c>
      <c r="G59" s="50">
        <f t="shared" si="2"/>
        <v>0</v>
      </c>
      <c r="H59" s="123">
        <f t="shared" si="2"/>
        <v>0</v>
      </c>
      <c r="I59" s="50">
        <f t="shared" si="2"/>
        <v>0</v>
      </c>
      <c r="J59" s="124">
        <f t="shared" si="2"/>
        <v>0</v>
      </c>
      <c r="K59" s="124">
        <f t="shared" si="2"/>
        <v>0</v>
      </c>
      <c r="L59" s="124">
        <f t="shared" si="2"/>
        <v>0</v>
      </c>
    </row>
    <row r="60" spans="1:14" s="125" customFormat="1" x14ac:dyDescent="0.25">
      <c r="C60" s="126" t="s">
        <v>93</v>
      </c>
      <c r="D60" s="126" t="s">
        <v>93</v>
      </c>
      <c r="E60" s="126" t="s">
        <v>93</v>
      </c>
      <c r="F60" s="127" t="s">
        <v>93</v>
      </c>
      <c r="G60" s="126" t="s">
        <v>93</v>
      </c>
      <c r="H60" s="126" t="s">
        <v>93</v>
      </c>
      <c r="I60" s="126" t="s">
        <v>93</v>
      </c>
      <c r="J60" s="126" t="s">
        <v>93</v>
      </c>
      <c r="K60" s="126" t="s">
        <v>93</v>
      </c>
      <c r="L60" s="126" t="s">
        <v>93</v>
      </c>
    </row>
    <row r="61" spans="1:14" s="125" customFormat="1" ht="15.75" thickBot="1" x14ac:dyDescent="0.3">
      <c r="C61" s="128"/>
      <c r="D61" s="129"/>
      <c r="H61" s="130"/>
      <c r="I61" s="129"/>
      <c r="J61" s="129"/>
      <c r="K61" s="129"/>
      <c r="L61" s="129"/>
    </row>
    <row r="62" spans="1:14" ht="15.75" thickBot="1" x14ac:dyDescent="0.3">
      <c r="A62" s="131" t="s">
        <v>36</v>
      </c>
      <c r="B62" s="132"/>
      <c r="C62" s="133" t="s">
        <v>94</v>
      </c>
      <c r="D62" s="134"/>
      <c r="E62" s="134"/>
      <c r="F62" s="135"/>
      <c r="G62" s="34" t="s">
        <v>95</v>
      </c>
      <c r="H62" s="136" t="s">
        <v>96</v>
      </c>
      <c r="I62" s="137"/>
      <c r="J62" s="138"/>
      <c r="K62" s="34" t="s">
        <v>97</v>
      </c>
      <c r="L62" s="139"/>
      <c r="M62" s="35" t="s">
        <v>98</v>
      </c>
      <c r="N62" s="37"/>
    </row>
    <row r="63" spans="1:14" ht="15.75" thickBot="1" x14ac:dyDescent="0.3">
      <c r="A63" s="140"/>
      <c r="B63" s="141"/>
      <c r="C63" s="40" t="str">
        <f>'[1]05.04.2024 '!C54</f>
        <v>ТОО «V L»</v>
      </c>
      <c r="D63" s="33" t="s">
        <v>99</v>
      </c>
      <c r="E63" s="33" t="s">
        <v>100</v>
      </c>
      <c r="F63" s="142" t="s">
        <v>101</v>
      </c>
      <c r="G63" s="33" t="s">
        <v>102</v>
      </c>
      <c r="H63" s="33" t="s">
        <v>103</v>
      </c>
      <c r="I63" s="33" t="s">
        <v>104</v>
      </c>
      <c r="J63" s="33" t="s">
        <v>105</v>
      </c>
      <c r="K63" s="143" t="s">
        <v>106</v>
      </c>
      <c r="L63" s="33" t="s">
        <v>107</v>
      </c>
      <c r="M63" s="33" t="s">
        <v>108</v>
      </c>
      <c r="N63" s="33" t="s">
        <v>109</v>
      </c>
    </row>
    <row r="64" spans="1:14" ht="15.75" thickBot="1" x14ac:dyDescent="0.3">
      <c r="A64" s="42"/>
      <c r="B64" s="42" t="s">
        <v>51</v>
      </c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</row>
    <row r="65" spans="1:14" ht="15.75" thickBot="1" x14ac:dyDescent="0.3">
      <c r="A65" s="144"/>
      <c r="B65" s="145"/>
      <c r="C65" s="146"/>
      <c r="D65" s="146"/>
      <c r="E65" s="146"/>
      <c r="F65" s="147"/>
      <c r="G65" s="146"/>
      <c r="H65" s="148"/>
      <c r="I65" s="148"/>
      <c r="J65" s="148"/>
      <c r="K65" s="149"/>
      <c r="L65" s="147"/>
      <c r="M65" s="47"/>
      <c r="N65" s="150"/>
    </row>
    <row r="66" spans="1:14" ht="15.75" thickBot="1" x14ac:dyDescent="0.3">
      <c r="A66" s="48" t="s">
        <v>52</v>
      </c>
      <c r="B66" s="151"/>
      <c r="C66" s="50"/>
      <c r="D66" s="50"/>
      <c r="E66" s="50"/>
      <c r="F66" s="50"/>
      <c r="G66" s="50"/>
      <c r="H66" s="50"/>
      <c r="I66" s="50"/>
      <c r="J66" s="50"/>
      <c r="K66" s="152"/>
      <c r="L66" s="50"/>
      <c r="M66" s="50"/>
      <c r="N66" s="50"/>
    </row>
    <row r="67" spans="1:14" x14ac:dyDescent="0.25">
      <c r="A67" s="153" t="s">
        <v>53</v>
      </c>
      <c r="B67" s="154"/>
      <c r="C67" s="55"/>
      <c r="D67" s="80"/>
      <c r="E67" s="55"/>
      <c r="F67" s="74"/>
      <c r="G67" s="74"/>
      <c r="H67" s="155"/>
      <c r="I67" s="155"/>
      <c r="J67" s="155"/>
      <c r="K67" s="55"/>
      <c r="L67" s="74"/>
      <c r="M67" s="80"/>
      <c r="N67" s="91"/>
    </row>
    <row r="68" spans="1:14" x14ac:dyDescent="0.25">
      <c r="A68" s="73" t="s">
        <v>54</v>
      </c>
      <c r="B68" s="156"/>
      <c r="C68" s="80"/>
      <c r="D68" s="74"/>
      <c r="E68" s="80"/>
      <c r="F68" s="62"/>
      <c r="G68" s="62"/>
      <c r="H68" s="75"/>
      <c r="I68" s="155"/>
      <c r="J68" s="155"/>
      <c r="K68" s="59"/>
      <c r="L68" s="62"/>
      <c r="M68" s="59"/>
      <c r="N68" s="59"/>
    </row>
    <row r="69" spans="1:14" x14ac:dyDescent="0.25">
      <c r="A69" s="73" t="s">
        <v>71</v>
      </c>
      <c r="B69" s="23"/>
      <c r="C69" s="80"/>
      <c r="D69" s="74"/>
      <c r="E69" s="80"/>
      <c r="F69" s="62"/>
      <c r="G69" s="62"/>
      <c r="H69" s="75"/>
      <c r="I69" s="75"/>
      <c r="J69" s="155"/>
      <c r="K69" s="59"/>
      <c r="L69" s="62"/>
      <c r="M69" s="75"/>
      <c r="N69" s="59"/>
    </row>
    <row r="70" spans="1:14" x14ac:dyDescent="0.25">
      <c r="A70" s="60" t="s">
        <v>58</v>
      </c>
      <c r="B70" s="156"/>
      <c r="C70" s="157"/>
      <c r="D70" s="75"/>
      <c r="E70" s="75"/>
      <c r="F70" s="158"/>
      <c r="G70" s="16"/>
      <c r="H70" s="75"/>
      <c r="I70" s="75"/>
      <c r="J70" s="80"/>
      <c r="K70" s="75"/>
      <c r="L70" s="158"/>
      <c r="M70" s="54"/>
      <c r="N70" s="59"/>
    </row>
    <row r="71" spans="1:14" x14ac:dyDescent="0.25">
      <c r="A71" s="144" t="s">
        <v>60</v>
      </c>
      <c r="B71" s="159"/>
      <c r="C71" s="80"/>
      <c r="D71" s="80"/>
      <c r="E71" s="148"/>
      <c r="F71" s="74"/>
      <c r="G71" s="74"/>
      <c r="H71" s="155"/>
      <c r="I71" s="75"/>
      <c r="J71" s="155"/>
      <c r="K71" s="80"/>
      <c r="L71" s="74"/>
      <c r="M71" s="54"/>
      <c r="N71" s="59"/>
    </row>
    <row r="72" spans="1:14" x14ac:dyDescent="0.25">
      <c r="A72" s="68" t="s">
        <v>63</v>
      </c>
      <c r="B72" s="160"/>
      <c r="C72" s="80"/>
      <c r="D72" s="80"/>
      <c r="E72" s="161"/>
      <c r="F72" s="72"/>
      <c r="G72" s="72"/>
      <c r="H72" s="155"/>
      <c r="I72" s="75"/>
      <c r="J72" s="155"/>
      <c r="K72" s="54"/>
      <c r="L72" s="72"/>
      <c r="M72" s="59"/>
      <c r="N72" s="59"/>
    </row>
    <row r="73" spans="1:14" x14ac:dyDescent="0.25">
      <c r="A73" s="144" t="s">
        <v>110</v>
      </c>
      <c r="B73" s="160"/>
      <c r="C73" s="80"/>
      <c r="D73" s="80"/>
      <c r="E73" s="161"/>
      <c r="F73" s="72"/>
      <c r="G73" s="81"/>
      <c r="H73" s="155"/>
      <c r="I73" s="75"/>
      <c r="J73" s="155"/>
      <c r="K73" s="54"/>
      <c r="L73" s="72"/>
      <c r="M73" s="59"/>
      <c r="N73" s="59"/>
    </row>
    <row r="74" spans="1:14" ht="15.75" thickBot="1" x14ac:dyDescent="0.3">
      <c r="A74" s="101" t="s">
        <v>111</v>
      </c>
      <c r="B74" s="160"/>
      <c r="C74" s="80"/>
      <c r="D74" s="80"/>
      <c r="E74" s="161"/>
      <c r="F74" s="72"/>
      <c r="G74" s="81"/>
      <c r="H74" s="155"/>
      <c r="I74" s="75"/>
      <c r="J74" s="155"/>
      <c r="K74" s="54"/>
      <c r="L74" s="72"/>
      <c r="M74" s="59"/>
      <c r="N74" s="59"/>
    </row>
    <row r="75" spans="1:14" ht="15.75" thickBot="1" x14ac:dyDescent="0.3">
      <c r="A75" s="42" t="s">
        <v>66</v>
      </c>
      <c r="B75" s="85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50"/>
      <c r="N75" s="50"/>
    </row>
    <row r="76" spans="1:14" x14ac:dyDescent="0.25">
      <c r="A76" s="153" t="s">
        <v>67</v>
      </c>
      <c r="B76" s="162"/>
      <c r="C76" s="163"/>
      <c r="D76" s="74"/>
      <c r="E76" s="80"/>
      <c r="F76" s="80"/>
      <c r="G76" s="80"/>
      <c r="H76" s="80"/>
      <c r="I76" s="80"/>
      <c r="J76" s="80"/>
      <c r="K76" s="164"/>
      <c r="L76" s="164"/>
      <c r="M76" s="165"/>
      <c r="N76" s="165"/>
    </row>
    <row r="77" spans="1:14" x14ac:dyDescent="0.25">
      <c r="A77" s="73" t="s">
        <v>112</v>
      </c>
      <c r="B77" s="97"/>
      <c r="C77" s="157"/>
      <c r="D77" s="74"/>
      <c r="E77" s="80"/>
      <c r="F77" s="80"/>
      <c r="G77" s="80"/>
      <c r="H77" s="80"/>
      <c r="I77" s="80"/>
      <c r="J77" s="80"/>
      <c r="K77" s="164"/>
      <c r="L77" s="164"/>
      <c r="M77" s="54"/>
      <c r="N77" s="59"/>
    </row>
    <row r="78" spans="1:14" x14ac:dyDescent="0.25">
      <c r="A78" s="166" t="s">
        <v>113</v>
      </c>
      <c r="B78" s="97"/>
      <c r="C78" s="157"/>
      <c r="D78" s="74"/>
      <c r="E78" s="80"/>
      <c r="F78" s="80"/>
      <c r="G78" s="80"/>
      <c r="H78" s="80"/>
      <c r="I78" s="80"/>
      <c r="J78" s="80"/>
      <c r="K78" s="164"/>
      <c r="L78" s="164"/>
      <c r="M78" s="59"/>
      <c r="N78" s="59"/>
    </row>
    <row r="79" spans="1:14" x14ac:dyDescent="0.25">
      <c r="A79" s="73" t="s">
        <v>114</v>
      </c>
      <c r="B79" s="97"/>
      <c r="C79" s="157"/>
      <c r="D79" s="74"/>
      <c r="E79" s="80"/>
      <c r="F79" s="80"/>
      <c r="G79" s="80"/>
      <c r="H79" s="80"/>
      <c r="I79" s="80"/>
      <c r="J79" s="80"/>
      <c r="K79" s="164"/>
      <c r="L79" s="164"/>
      <c r="M79" s="59"/>
      <c r="N79" s="59"/>
    </row>
    <row r="80" spans="1:14" ht="30" x14ac:dyDescent="0.25">
      <c r="A80" s="66" t="s">
        <v>115</v>
      </c>
      <c r="B80" s="167" t="s">
        <v>116</v>
      </c>
      <c r="C80" s="157"/>
      <c r="D80" s="74"/>
      <c r="E80" s="80"/>
      <c r="F80" s="80"/>
      <c r="G80" s="80"/>
      <c r="H80" s="80"/>
      <c r="I80" s="80"/>
      <c r="J80" s="80"/>
      <c r="K80" s="164"/>
      <c r="L80" s="164"/>
      <c r="M80" s="59"/>
      <c r="N80" s="59"/>
    </row>
    <row r="81" spans="1:14" x14ac:dyDescent="0.25">
      <c r="A81" s="73" t="s">
        <v>117</v>
      </c>
      <c r="B81" s="103"/>
      <c r="C81" s="157"/>
      <c r="D81" s="74"/>
      <c r="E81" s="80"/>
      <c r="F81" s="80"/>
      <c r="G81" s="80"/>
      <c r="H81" s="80"/>
      <c r="I81" s="80"/>
      <c r="J81" s="80"/>
      <c r="K81" s="164"/>
      <c r="L81" s="164"/>
      <c r="M81" s="58"/>
      <c r="N81" s="58"/>
    </row>
    <row r="82" spans="1:14" x14ac:dyDescent="0.25">
      <c r="A82" s="73" t="s">
        <v>118</v>
      </c>
      <c r="B82" s="103"/>
      <c r="C82" s="157"/>
      <c r="D82" s="74"/>
      <c r="E82" s="80"/>
      <c r="F82" s="80"/>
      <c r="G82" s="80"/>
      <c r="H82" s="80"/>
      <c r="I82" s="80"/>
      <c r="J82" s="80"/>
      <c r="K82" s="164"/>
      <c r="L82" s="164"/>
      <c r="M82" s="58"/>
      <c r="N82" s="58"/>
    </row>
    <row r="83" spans="1:14" x14ac:dyDescent="0.25">
      <c r="A83" s="60" t="s">
        <v>84</v>
      </c>
      <c r="B83" s="167"/>
      <c r="C83" s="157"/>
      <c r="D83" s="74"/>
      <c r="E83" s="80"/>
      <c r="F83" s="80"/>
      <c r="G83" s="74"/>
      <c r="H83" s="80"/>
      <c r="I83" s="80"/>
      <c r="J83" s="80"/>
      <c r="K83" s="164"/>
      <c r="L83" s="164"/>
      <c r="M83" s="58"/>
      <c r="N83" s="58"/>
    </row>
    <row r="84" spans="1:14" x14ac:dyDescent="0.25">
      <c r="A84" s="168" t="s">
        <v>86</v>
      </c>
      <c r="B84" s="97"/>
      <c r="C84" s="59"/>
      <c r="D84" s="74"/>
      <c r="E84" s="75"/>
      <c r="F84" s="75"/>
      <c r="G84" s="75"/>
      <c r="H84" s="75"/>
      <c r="I84" s="75"/>
      <c r="J84" s="75"/>
      <c r="K84" s="169"/>
      <c r="L84" s="169"/>
      <c r="M84" s="59"/>
      <c r="N84" s="59"/>
    </row>
    <row r="85" spans="1:14" x14ac:dyDescent="0.25">
      <c r="A85" s="170" t="s">
        <v>62</v>
      </c>
      <c r="B85" s="61"/>
      <c r="C85" s="74"/>
      <c r="D85" s="74"/>
      <c r="E85" s="80"/>
      <c r="F85" s="80"/>
      <c r="G85" s="80"/>
      <c r="H85" s="80"/>
      <c r="I85" s="80"/>
      <c r="J85" s="80"/>
      <c r="K85" s="164"/>
      <c r="L85" s="164"/>
      <c r="M85" s="59"/>
      <c r="N85" s="59"/>
    </row>
    <row r="86" spans="1:14" ht="15.75" thickBot="1" x14ac:dyDescent="0.3">
      <c r="A86" s="171" t="s">
        <v>89</v>
      </c>
      <c r="B86" s="172"/>
      <c r="C86" s="173"/>
      <c r="D86" s="74"/>
      <c r="E86" s="80"/>
      <c r="F86" s="80"/>
      <c r="G86" s="80"/>
      <c r="H86" s="80"/>
      <c r="I86" s="80"/>
      <c r="J86" s="80"/>
      <c r="K86" s="164"/>
      <c r="L86" s="164"/>
      <c r="M86" s="107"/>
      <c r="N86" s="107"/>
    </row>
    <row r="87" spans="1:14" s="179" customFormat="1" ht="15.75" thickBot="1" x14ac:dyDescent="0.3">
      <c r="A87" s="174"/>
      <c r="B87" s="175" t="s">
        <v>119</v>
      </c>
      <c r="C87" s="176">
        <f t="shared" ref="C87:N87" si="3">C64+C66-C75</f>
        <v>0</v>
      </c>
      <c r="D87" s="176">
        <f t="shared" si="3"/>
        <v>0</v>
      </c>
      <c r="E87" s="176">
        <f t="shared" si="3"/>
        <v>0</v>
      </c>
      <c r="F87" s="176">
        <f t="shared" si="3"/>
        <v>0</v>
      </c>
      <c r="G87" s="176">
        <f t="shared" si="3"/>
        <v>0</v>
      </c>
      <c r="H87" s="176">
        <f t="shared" si="3"/>
        <v>0</v>
      </c>
      <c r="I87" s="176">
        <f t="shared" si="3"/>
        <v>0</v>
      </c>
      <c r="J87" s="176">
        <f t="shared" si="3"/>
        <v>0</v>
      </c>
      <c r="K87" s="176">
        <f t="shared" si="3"/>
        <v>0</v>
      </c>
      <c r="L87" s="176">
        <f t="shared" si="3"/>
        <v>0</v>
      </c>
      <c r="M87" s="177">
        <f t="shared" si="3"/>
        <v>0</v>
      </c>
      <c r="N87" s="178">
        <f t="shared" si="3"/>
        <v>0</v>
      </c>
    </row>
    <row r="88" spans="1:14" s="125" customFormat="1" x14ac:dyDescent="0.25">
      <c r="C88" s="126" t="s">
        <v>93</v>
      </c>
      <c r="D88" s="126" t="s">
        <v>93</v>
      </c>
      <c r="E88" s="126" t="s">
        <v>93</v>
      </c>
      <c r="F88" s="126" t="s">
        <v>120</v>
      </c>
      <c r="G88" s="126" t="s">
        <v>93</v>
      </c>
      <c r="H88" s="126" t="s">
        <v>93</v>
      </c>
      <c r="I88" s="126" t="s">
        <v>93</v>
      </c>
      <c r="J88" s="126" t="s">
        <v>93</v>
      </c>
      <c r="K88" s="180" t="s">
        <v>93</v>
      </c>
      <c r="L88" s="179" t="s">
        <v>120</v>
      </c>
      <c r="M88" s="126" t="s">
        <v>93</v>
      </c>
      <c r="N88" s="126" t="s">
        <v>93</v>
      </c>
    </row>
    <row r="89" spans="1:14" x14ac:dyDescent="0.25">
      <c r="C89" s="125"/>
      <c r="D89" s="130"/>
      <c r="E89" s="130"/>
      <c r="F89" s="125"/>
      <c r="G89" s="125"/>
      <c r="H89" s="125"/>
      <c r="I89" s="125"/>
      <c r="J89" s="125"/>
      <c r="K89" s="125"/>
      <c r="L89" s="125"/>
      <c r="M89" s="64"/>
      <c r="N89" s="64"/>
    </row>
    <row r="90" spans="1:14" s="125" customFormat="1" ht="15.75" thickBot="1" x14ac:dyDescent="0.3">
      <c r="C90" s="128"/>
      <c r="D90" s="129"/>
      <c r="H90" s="130"/>
      <c r="I90" s="129"/>
      <c r="J90" s="130"/>
      <c r="L90"/>
      <c r="M90" s="64"/>
      <c r="N90" s="64"/>
    </row>
    <row r="91" spans="1:14" ht="15.75" thickBot="1" x14ac:dyDescent="0.3">
      <c r="A91" s="131" t="s">
        <v>36</v>
      </c>
      <c r="B91" s="132"/>
      <c r="C91" s="133" t="s">
        <v>121</v>
      </c>
      <c r="D91" s="135"/>
    </row>
    <row r="92" spans="1:14" ht="15.75" thickBot="1" x14ac:dyDescent="0.3">
      <c r="A92" s="140"/>
      <c r="B92" s="141"/>
      <c r="C92" s="40" t="s">
        <v>122</v>
      </c>
      <c r="D92" s="33" t="s">
        <v>123</v>
      </c>
    </row>
    <row r="93" spans="1:14" ht="15.75" thickBot="1" x14ac:dyDescent="0.3">
      <c r="A93" s="42"/>
      <c r="B93" s="42" t="s">
        <v>51</v>
      </c>
      <c r="C93" s="50"/>
      <c r="D93" s="50"/>
    </row>
    <row r="94" spans="1:14" ht="15.75" thickBot="1" x14ac:dyDescent="0.3">
      <c r="A94" s="48" t="s">
        <v>52</v>
      </c>
      <c r="B94" s="151"/>
      <c r="C94" s="50"/>
      <c r="D94" s="50"/>
      <c r="G94" s="125"/>
    </row>
    <row r="95" spans="1:14" x14ac:dyDescent="0.25">
      <c r="A95" s="153" t="s">
        <v>53</v>
      </c>
      <c r="B95" s="154"/>
      <c r="C95" s="55"/>
      <c r="D95" s="74"/>
    </row>
    <row r="96" spans="1:14" x14ac:dyDescent="0.25">
      <c r="A96" s="73" t="s">
        <v>54</v>
      </c>
      <c r="B96" s="181"/>
      <c r="C96" s="80"/>
      <c r="D96" s="74"/>
    </row>
    <row r="97" spans="1:5" x14ac:dyDescent="0.25">
      <c r="A97" s="73" t="s">
        <v>71</v>
      </c>
      <c r="B97" s="159"/>
      <c r="C97" s="80"/>
      <c r="D97" s="74"/>
    </row>
    <row r="98" spans="1:5" x14ac:dyDescent="0.25">
      <c r="A98" s="60" t="s">
        <v>58</v>
      </c>
      <c r="B98" s="182"/>
      <c r="C98" s="157"/>
      <c r="D98" s="74"/>
    </row>
    <row r="99" spans="1:5" x14ac:dyDescent="0.25">
      <c r="A99" s="144" t="s">
        <v>60</v>
      </c>
      <c r="B99" s="159"/>
      <c r="C99" s="80"/>
      <c r="D99" s="74"/>
    </row>
    <row r="100" spans="1:5" x14ac:dyDescent="0.25">
      <c r="A100" s="68" t="s">
        <v>63</v>
      </c>
      <c r="B100" s="160"/>
      <c r="C100" s="80"/>
      <c r="D100" s="74"/>
    </row>
    <row r="101" spans="1:5" x14ac:dyDescent="0.25">
      <c r="A101" s="144" t="s">
        <v>124</v>
      </c>
      <c r="B101" s="97"/>
      <c r="C101" s="80"/>
      <c r="D101" s="74"/>
    </row>
    <row r="102" spans="1:5" ht="15.75" thickBot="1" x14ac:dyDescent="0.3">
      <c r="A102" s="101" t="s">
        <v>111</v>
      </c>
      <c r="B102" s="97"/>
      <c r="C102" s="80"/>
      <c r="D102" s="74"/>
    </row>
    <row r="103" spans="1:5" ht="15.75" thickBot="1" x14ac:dyDescent="0.3">
      <c r="A103" s="42" t="s">
        <v>66</v>
      </c>
      <c r="B103" s="85"/>
      <c r="C103" s="87"/>
      <c r="D103" s="87"/>
    </row>
    <row r="104" spans="1:5" x14ac:dyDescent="0.25">
      <c r="A104" s="153" t="s">
        <v>67</v>
      </c>
      <c r="B104" s="97"/>
      <c r="C104" s="163"/>
      <c r="D104" s="80"/>
    </row>
    <row r="105" spans="1:5" x14ac:dyDescent="0.25">
      <c r="A105" s="73" t="s">
        <v>112</v>
      </c>
      <c r="B105" s="97"/>
      <c r="C105" s="74"/>
      <c r="D105" s="80"/>
    </row>
    <row r="106" spans="1:5" x14ac:dyDescent="0.25">
      <c r="A106" s="166" t="s">
        <v>113</v>
      </c>
      <c r="B106" s="97"/>
      <c r="C106" s="74"/>
      <c r="D106" s="80"/>
    </row>
    <row r="107" spans="1:5" x14ac:dyDescent="0.25">
      <c r="A107" s="73" t="s">
        <v>114</v>
      </c>
      <c r="B107" s="102"/>
      <c r="C107" s="74"/>
      <c r="D107" s="80"/>
    </row>
    <row r="108" spans="1:5" x14ac:dyDescent="0.25">
      <c r="A108" s="73" t="s">
        <v>117</v>
      </c>
      <c r="B108" s="97"/>
      <c r="C108" s="157"/>
      <c r="D108" s="80"/>
    </row>
    <row r="109" spans="1:5" x14ac:dyDescent="0.25">
      <c r="A109" s="168" t="s">
        <v>86</v>
      </c>
      <c r="B109" s="102"/>
      <c r="C109" s="74"/>
      <c r="D109" s="75"/>
    </row>
    <row r="110" spans="1:5" x14ac:dyDescent="0.25">
      <c r="A110" s="168" t="s">
        <v>118</v>
      </c>
      <c r="B110" s="102"/>
      <c r="C110" s="74"/>
      <c r="D110" s="75"/>
    </row>
    <row r="111" spans="1:5" x14ac:dyDescent="0.25">
      <c r="A111" s="60" t="s">
        <v>84</v>
      </c>
      <c r="B111" s="167"/>
      <c r="C111" s="74"/>
      <c r="D111" s="75"/>
    </row>
    <row r="112" spans="1:5" x14ac:dyDescent="0.25">
      <c r="A112" s="170" t="s">
        <v>62</v>
      </c>
      <c r="B112" s="61"/>
      <c r="C112" s="74"/>
      <c r="D112" s="80"/>
      <c r="E112" s="179"/>
    </row>
    <row r="113" spans="1:6" ht="15.75" thickBot="1" x14ac:dyDescent="0.3">
      <c r="A113" s="183" t="s">
        <v>89</v>
      </c>
      <c r="B113" s="184"/>
      <c r="C113" s="173"/>
      <c r="D113" s="80"/>
      <c r="E113" s="126"/>
    </row>
    <row r="114" spans="1:6" s="179" customFormat="1" ht="15.75" thickBot="1" x14ac:dyDescent="0.3">
      <c r="A114" s="174"/>
      <c r="B114" s="175" t="s">
        <v>119</v>
      </c>
      <c r="C114" s="176">
        <f>C93+C94-C103</f>
        <v>0</v>
      </c>
      <c r="D114" s="176">
        <f>D93+D94-D103</f>
        <v>0</v>
      </c>
      <c r="E114"/>
      <c r="F114" s="125"/>
    </row>
    <row r="115" spans="1:6" s="125" customFormat="1" x14ac:dyDescent="0.25">
      <c r="C115" s="126" t="s">
        <v>93</v>
      </c>
      <c r="D115" s="126" t="s">
        <v>93</v>
      </c>
    </row>
    <row r="116" spans="1:6" x14ac:dyDescent="0.25">
      <c r="C116" s="125"/>
      <c r="D116" s="125"/>
    </row>
    <row r="122" spans="1:6" x14ac:dyDescent="0.25">
      <c r="C122" s="185"/>
    </row>
  </sheetData>
  <mergeCells count="22">
    <mergeCell ref="A91:B92"/>
    <mergeCell ref="C91:D91"/>
    <mergeCell ref="A94:B94"/>
    <mergeCell ref="A59:B59"/>
    <mergeCell ref="A62:B63"/>
    <mergeCell ref="C62:F62"/>
    <mergeCell ref="H62:J62"/>
    <mergeCell ref="M62:N62"/>
    <mergeCell ref="A66:B66"/>
    <mergeCell ref="A22:B22"/>
    <mergeCell ref="A23:B23"/>
    <mergeCell ref="A24:B24"/>
    <mergeCell ref="A57:B57"/>
    <mergeCell ref="C57:H58"/>
    <mergeCell ref="A58:B58"/>
    <mergeCell ref="A2:Q2"/>
    <mergeCell ref="A3:XFD3"/>
    <mergeCell ref="A15:B15"/>
    <mergeCell ref="A18:M18"/>
    <mergeCell ref="A19:B20"/>
    <mergeCell ref="C19:F19"/>
    <mergeCell ref="I19:L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2026-05-04T06:58:28Z</dcterms:modified>
</cp:coreProperties>
</file>