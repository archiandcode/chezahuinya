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dyar\Desktop\ТЕХ Задание Торговля\Тех задание кассовая дисциплина\Еженедельные отчеты шаблон\"/>
    </mc:Choice>
  </mc:AlternateContent>
  <bookViews>
    <workbookView xWindow="0" yWindow="0" windowWidth="28800" windowHeight="12210"/>
  </bookViews>
  <sheets>
    <sheet name="Лист2" sheetId="2" r:id="rId1"/>
  </sheets>
  <definedNames>
    <definedName name="_xlnm._FilterDatabase" localSheetId="0" hidden="1">Лист2!$A$105:$D$117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83" i="2" l="1"/>
  <c r="B105" i="2" l="1"/>
  <c r="B49" i="2"/>
  <c r="B57" i="2"/>
  <c r="B98" i="2"/>
  <c r="B20" i="2"/>
  <c r="B31" i="2"/>
  <c r="B11" i="2"/>
  <c r="B4" i="2"/>
  <c r="B74" i="2" l="1"/>
  <c r="B94" i="2"/>
  <c r="B45" i="2" l="1"/>
  <c r="B79" i="2" l="1"/>
  <c r="B117" i="2" l="1"/>
  <c r="B27" i="2" l="1"/>
</calcChain>
</file>

<file path=xl/sharedStrings.xml><?xml version="1.0" encoding="utf-8"?>
<sst xmlns="http://schemas.openxmlformats.org/spreadsheetml/2006/main" count="310" uniqueCount="160">
  <si>
    <t xml:space="preserve">Группа компаний </t>
  </si>
  <si>
    <t>Контрагенты</t>
  </si>
  <si>
    <t>Сумма задолженности</t>
  </si>
  <si>
    <t xml:space="preserve">Компания которая должна </t>
  </si>
  <si>
    <t>Перед какой компанией долг</t>
  </si>
  <si>
    <t>ТОО «RA paper»</t>
  </si>
  <si>
    <t xml:space="preserve">Абибова Мадина Махаммадовна </t>
  </si>
  <si>
    <t>Ершуманов Жанат Оракович</t>
  </si>
  <si>
    <t>Абибов Рустам Алиярович</t>
  </si>
  <si>
    <t>ИП "САХЫМБЕТОВ"</t>
  </si>
  <si>
    <t>АтласСофт ТОО</t>
  </si>
  <si>
    <t>ТОО "QazaQ Go"</t>
  </si>
  <si>
    <t>Убитаев Еркебулан Нурланович</t>
  </si>
  <si>
    <t>Асанов Өркен Сұлтанұлы</t>
  </si>
  <si>
    <t>ТОО "LUXURY DISTRIBUTION"</t>
  </si>
  <si>
    <t>Halal_food_kz</t>
  </si>
  <si>
    <t>ТОО "RA corp."</t>
  </si>
  <si>
    <t>ТОО "Vegas Lex (Вегас Лекс)"</t>
  </si>
  <si>
    <t>за квартиру</t>
  </si>
  <si>
    <t>за мебель</t>
  </si>
  <si>
    <t>за программу решение суда</t>
  </si>
  <si>
    <t>займ по графику</t>
  </si>
  <si>
    <t>Раджабов Руслан Сахрабович</t>
  </si>
  <si>
    <t>по делам ТОО</t>
  </si>
  <si>
    <t>ТОО "RACE"</t>
  </si>
  <si>
    <t>займ +аванс</t>
  </si>
  <si>
    <t>Цессия</t>
  </si>
  <si>
    <t>ЧН Нотариус Кабдуллин Е.О</t>
  </si>
  <si>
    <t xml:space="preserve">суд нот </t>
  </si>
  <si>
    <t>Фахратов Омар</t>
  </si>
  <si>
    <t>АО «First Heartland Jusan Bank»</t>
  </si>
  <si>
    <t>Омарова Гульжохра Алияровна</t>
  </si>
  <si>
    <t>Абибова Мадина Махамадовна</t>
  </si>
  <si>
    <t>Набиев Расул Александрович</t>
  </si>
  <si>
    <t>ФОРТЕ Банк</t>
  </si>
  <si>
    <t>Омаров Аббас</t>
  </si>
  <si>
    <t>примечание</t>
  </si>
  <si>
    <t>итого</t>
  </si>
  <si>
    <t>ВФП номинально</t>
  </si>
  <si>
    <t xml:space="preserve">ВФП </t>
  </si>
  <si>
    <t>ТОО "КА ПКБ"</t>
  </si>
  <si>
    <t>ИП Ефименко</t>
  </si>
  <si>
    <t>решение суда за TN017</t>
  </si>
  <si>
    <t>Брандт Алексей Петрович</t>
  </si>
  <si>
    <t>Низамов Вериат Маратович</t>
  </si>
  <si>
    <t xml:space="preserve">Кожахметов Санжар Маратұлы HYUNDAI ACCENT г/н -661ZC05 </t>
  </si>
  <si>
    <t xml:space="preserve">Боласпаев Темірлан Талғатұлы HYUNDAI ACCENT г/н -895ZC05 </t>
  </si>
  <si>
    <t xml:space="preserve">Мұхат Шыңғыс Едікұлы HYUNDAI ACCENT г/н -871ZC05 </t>
  </si>
  <si>
    <t xml:space="preserve">Исабаев Серик Муратович HYUNDAI ACCENT г/н -895ZC05 </t>
  </si>
  <si>
    <t xml:space="preserve">Әділгереев Асылбек Айболатұлы HYUNDAI ACCENT г/н -841ZC05 </t>
  </si>
  <si>
    <t>Найманбай Султанбек Толегенұлы HYUNDAI ACCENT г/н -864ZC05</t>
  </si>
  <si>
    <t>Гриньков Игорь Лову</t>
  </si>
  <si>
    <t>Мамырқан Нурбатыр Бауыржанұлы</t>
  </si>
  <si>
    <t>такси за  авто дтп</t>
  </si>
  <si>
    <t>Шаймахан Жансая Аббасқызы</t>
  </si>
  <si>
    <t xml:space="preserve">Ерканат </t>
  </si>
  <si>
    <t>дивиденды</t>
  </si>
  <si>
    <t>Займы сотрудников по графику</t>
  </si>
  <si>
    <t>займ решение суда</t>
  </si>
  <si>
    <t>Расчеты по имуществу</t>
  </si>
  <si>
    <t>Займы по делам ТОО</t>
  </si>
  <si>
    <t>Сотрудники-должники по деятельности</t>
  </si>
  <si>
    <t>Должники по торговым</t>
  </si>
  <si>
    <t>решение суда</t>
  </si>
  <si>
    <t>Договора Цессии по графику</t>
  </si>
  <si>
    <t>ТОО "КА IC"</t>
  </si>
  <si>
    <t>ЗУ Каскелен</t>
  </si>
  <si>
    <t>ТОО "КА FC"</t>
  </si>
  <si>
    <t>ТОО «RA Holding»</t>
  </si>
  <si>
    <t>Казпочта на счету по договору</t>
  </si>
  <si>
    <t>АО Казпочта</t>
  </si>
  <si>
    <t xml:space="preserve">отправка писем пополнение счета </t>
  </si>
  <si>
    <t>ЗУ Жулдыз</t>
  </si>
  <si>
    <t>ТОО "VL"</t>
  </si>
  <si>
    <t>ЗУ Жулдыз налог на землю</t>
  </si>
  <si>
    <t>ЗУ Каскелен налог на землю</t>
  </si>
  <si>
    <t>Займ на финансирование</t>
  </si>
  <si>
    <t>Омаров Нариман</t>
  </si>
  <si>
    <t>ТОО «QR Consalting»</t>
  </si>
  <si>
    <t>Гани</t>
  </si>
  <si>
    <t>Аббасов Ибрагим</t>
  </si>
  <si>
    <t xml:space="preserve">за товар </t>
  </si>
  <si>
    <t>игрушки</t>
  </si>
  <si>
    <t>Касса ИП</t>
  </si>
  <si>
    <t>стенд</t>
  </si>
  <si>
    <t>Абибова Зарина</t>
  </si>
  <si>
    <t>займ, возврат разовый</t>
  </si>
  <si>
    <t>Займы третьи лица</t>
  </si>
  <si>
    <t>Шариф</t>
  </si>
  <si>
    <t>займ на 2 месяца (взят в январе 25)</t>
  </si>
  <si>
    <t>Рамиль</t>
  </si>
  <si>
    <t>Мамадалиева Г.Г.</t>
  </si>
  <si>
    <t xml:space="preserve">треки </t>
  </si>
  <si>
    <t>Ажара Ш</t>
  </si>
  <si>
    <t>ТОО ONK invest</t>
  </si>
  <si>
    <t>LAMPA ИП (Гани)</t>
  </si>
  <si>
    <t xml:space="preserve">Кабдуллин Ерик Оразканович </t>
  </si>
  <si>
    <t>Тургинбек Бакдаулет Русланулы</t>
  </si>
  <si>
    <t>БВУ, Выезд, Е-Нотариат</t>
  </si>
  <si>
    <t>БВУ, Е-Нотариат</t>
  </si>
  <si>
    <t xml:space="preserve">Юсупов Абдулазиз Абдулаевич </t>
  </si>
  <si>
    <t>Кредитование-финансирование активы</t>
  </si>
  <si>
    <t xml:space="preserve">Елисеева Елена </t>
  </si>
  <si>
    <t>РА</t>
  </si>
  <si>
    <t>Коныратбаев Ержан</t>
  </si>
  <si>
    <t>расрочка авто должника</t>
  </si>
  <si>
    <t>ЗУ и дом</t>
  </si>
  <si>
    <t>ВФП</t>
  </si>
  <si>
    <t>займ по графику ремонт авто</t>
  </si>
  <si>
    <t xml:space="preserve">займ </t>
  </si>
  <si>
    <t xml:space="preserve">Займ </t>
  </si>
  <si>
    <t>Тугулева Асель</t>
  </si>
  <si>
    <t>Х</t>
  </si>
  <si>
    <t>Касса ИП инкас Аббасу</t>
  </si>
  <si>
    <t>займ до 10/01/2026 г</t>
  </si>
  <si>
    <t>ИП Фарида</t>
  </si>
  <si>
    <t>займ салон</t>
  </si>
  <si>
    <t>ТОО Leader Build</t>
  </si>
  <si>
    <t>BM Beauty Luxe</t>
  </si>
  <si>
    <t>СФК NFS</t>
  </si>
  <si>
    <t>пред-ские</t>
  </si>
  <si>
    <t>услуги вз-ние</t>
  </si>
  <si>
    <t>ТОО "КА NC"</t>
  </si>
  <si>
    <t>тендер</t>
  </si>
  <si>
    <t>АО «Halyk Bank»</t>
  </si>
  <si>
    <t>Ахмедова Альвина Зльфихаровна</t>
  </si>
  <si>
    <t>Эльдар Кобальт 566 GK 02</t>
  </si>
  <si>
    <t>за билеты</t>
  </si>
  <si>
    <t>АО «ABC»</t>
  </si>
  <si>
    <t>Байрам З</t>
  </si>
  <si>
    <t>Чепрасова Ольга</t>
  </si>
  <si>
    <t>ВФП аннулирован в Базе</t>
  </si>
  <si>
    <t>СФК AlemF</t>
  </si>
  <si>
    <t>СФК AlmatyF</t>
  </si>
  <si>
    <t>Цессия пул1</t>
  </si>
  <si>
    <t>Цессия пул2</t>
  </si>
  <si>
    <t>Цессия пул3</t>
  </si>
  <si>
    <t>Обеспечение взнос RAP</t>
  </si>
  <si>
    <t>обеспечение взноса</t>
  </si>
  <si>
    <t>Мутлу Байрам (Салих налоги ЗП январь и февраль)</t>
  </si>
  <si>
    <t>Фахратов Омар (долг за бумагу удержем с ЗП апрель май)</t>
  </si>
  <si>
    <t>Аббасов Ибрагим (долг за бумагу удержем с ЗП апрель май)</t>
  </si>
  <si>
    <t>за бумагу</t>
  </si>
  <si>
    <t>СФК ALEM</t>
  </si>
  <si>
    <t>дкп авто</t>
  </si>
  <si>
    <t>ВФП номинально в кассу и на р/с факт</t>
  </si>
  <si>
    <t>Кредиторская задолженность на 30.04.2026</t>
  </si>
  <si>
    <t>Дебиторская задолженность на 30.04.2026</t>
  </si>
  <si>
    <t>Құлмахан Саят Жарасұлы</t>
  </si>
  <si>
    <t>ЗУ Шымкент без нал</t>
  </si>
  <si>
    <t>ЗУ Шымкент нал</t>
  </si>
  <si>
    <t>Ибрагимов К У</t>
  </si>
  <si>
    <t>Шакирова Ажар</t>
  </si>
  <si>
    <t>Тоғайбаева Жангүл</t>
  </si>
  <si>
    <t>займ с зп май</t>
  </si>
  <si>
    <t>займ на 2 года (взят 26 мая 25)</t>
  </si>
  <si>
    <t>БВУ:</t>
  </si>
  <si>
    <t>КА:</t>
  </si>
  <si>
    <t xml:space="preserve"> по деятельности </t>
  </si>
  <si>
    <t>ZERO  по деятельности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</si>
</sst>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\ _₸_-;\-* #,##0.00\ _₸_-;_-* &quot;-&quot;??\ _₸_-;_-@_-"/>
    <numFmt numFmtId="164" formatCode="_-* #,##0.00_-;\-* #,##0.00_-;_-* &quot;-&quot;??_-;_-@_-"/>
  </numFmts>
  <fonts count="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b/>
      <sz val="10"/>
      <name val="Arial"/>
      <family val="2"/>
      <charset val="1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6" fillId="0" borderId="0"/>
    <xf numFmtId="0" fontId="1" fillId="0" borderId="0"/>
    <xf numFmtId="164" fontId="1" fillId="0" borderId="0" applyFont="0" applyFill="0" applyBorder="0" applyProtection="0"/>
  </cellStyleXfs>
  <cellXfs count="46">
    <xf numFmtId="0" fontId="0" fillId="0" borderId="0" xfId="0"/>
    <xf numFmtId="0" fontId="0" fillId="0" borderId="1" xfId="0" applyBorder="1"/>
    <xf numFmtId="164" fontId="0" fillId="0" borderId="1" xfId="1" applyFont="1" applyBorder="1"/>
    <xf numFmtId="0" fontId="0" fillId="0" borderId="1" xfId="0" applyBorder="1" applyAlignment="1">
      <alignment wrapText="1"/>
    </xf>
    <xf numFmtId="164" fontId="0" fillId="0" borderId="0" xfId="1" applyFont="1"/>
    <xf numFmtId="0" fontId="0" fillId="0" borderId="5" xfId="0" applyBorder="1"/>
    <xf numFmtId="0" fontId="0" fillId="0" borderId="6" xfId="0" applyBorder="1" applyAlignment="1">
      <alignment wrapText="1"/>
    </xf>
    <xf numFmtId="0" fontId="0" fillId="0" borderId="6" xfId="0" applyBorder="1"/>
    <xf numFmtId="0" fontId="0" fillId="0" borderId="5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8" xfId="0" applyBorder="1"/>
    <xf numFmtId="0" fontId="0" fillId="0" borderId="10" xfId="0" applyBorder="1"/>
    <xf numFmtId="0" fontId="0" fillId="0" borderId="12" xfId="0" applyBorder="1" applyAlignment="1">
      <alignment wrapText="1"/>
    </xf>
    <xf numFmtId="0" fontId="5" fillId="0" borderId="7" xfId="0" applyFont="1" applyBorder="1"/>
    <xf numFmtId="164" fontId="5" fillId="0" borderId="8" xfId="1" applyFont="1" applyBorder="1"/>
    <xf numFmtId="164" fontId="1" fillId="0" borderId="1" xfId="1" applyFont="1" applyBorder="1"/>
    <xf numFmtId="164" fontId="0" fillId="0" borderId="1" xfId="1" applyFont="1" applyFill="1" applyBorder="1" applyAlignment="1">
      <alignment horizontal="right"/>
    </xf>
    <xf numFmtId="0" fontId="0" fillId="0" borderId="5" xfId="0" applyBorder="1" applyAlignment="1">
      <alignment horizontal="left" vertical="center"/>
    </xf>
    <xf numFmtId="164" fontId="0" fillId="0" borderId="1" xfId="1" applyFont="1" applyFill="1" applyBorder="1" applyAlignment="1"/>
    <xf numFmtId="164" fontId="0" fillId="0" borderId="1" xfId="1" applyFont="1" applyFill="1" applyBorder="1"/>
    <xf numFmtId="4" fontId="5" fillId="0" borderId="8" xfId="1" applyNumberFormat="1" applyFont="1" applyBorder="1"/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164" fontId="0" fillId="0" borderId="1" xfId="1" applyFont="1" applyFill="1" applyBorder="1" applyAlignment="1">
      <alignment horizontal="center" vertical="center"/>
    </xf>
    <xf numFmtId="4" fontId="0" fillId="0" borderId="1" xfId="1" applyNumberFormat="1" applyFont="1" applyFill="1" applyBorder="1" applyAlignment="1">
      <alignment horizontal="right"/>
    </xf>
    <xf numFmtId="0" fontId="0" fillId="0" borderId="2" xfId="0" applyBorder="1"/>
    <xf numFmtId="164" fontId="0" fillId="0" borderId="3" xfId="1" applyFont="1" applyBorder="1"/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164" fontId="0" fillId="0" borderId="11" xfId="1" applyFont="1" applyFill="1" applyBorder="1" applyAlignment="1"/>
    <xf numFmtId="0" fontId="0" fillId="0" borderId="12" xfId="0" applyBorder="1" applyAlignment="1">
      <alignment horizontal="left" vertical="center"/>
    </xf>
    <xf numFmtId="0" fontId="0" fillId="0" borderId="16" xfId="0" applyBorder="1" applyAlignment="1">
      <alignment wrapText="1"/>
    </xf>
    <xf numFmtId="43" fontId="0" fillId="0" borderId="0" xfId="0" applyNumberFormat="1"/>
    <xf numFmtId="0" fontId="7" fillId="0" borderId="1" xfId="0" applyFont="1" applyBorder="1"/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4" xfId="0" applyFont="1" applyBorder="1" applyAlignment="1">
      <alignment horizont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</cellXfs>
  <cellStyles count="5">
    <cellStyle name="Обычный" xfId="0" builtinId="0"/>
    <cellStyle name="Обычный 10 2 2 2" xfId="3"/>
    <cellStyle name="Обычный 2" xfId="2"/>
    <cellStyle name="Финансовый" xfId="1" builtinId="3"/>
    <cellStyle name="Финансовый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"/>
  <sheetViews>
    <sheetView tabSelected="1" view="pageBreakPreview" zoomScaleNormal="100" zoomScaleSheetLayoutView="100" workbookViewId="0">
      <selection activeCell="A105" sqref="A105:D105"/>
    </sheetView>
  </sheetViews>
  <sheetFormatPr defaultRowHeight="15" x14ac:dyDescent="0.25"/>
  <cols>
    <col min="1" max="1" width="61.85546875" bestFit="1" customWidth="1"/>
    <col min="2" max="2" width="18" style="4" bestFit="1" customWidth="1"/>
    <col min="3" max="3" width="27.7109375" bestFit="1" customWidth="1"/>
    <col min="4" max="4" width="33.85546875" customWidth="1"/>
    <col min="6" max="6" width="15.5703125" bestFit="1" customWidth="1"/>
  </cols>
  <sheetData>
    <row r="1" spans="1:4" ht="15.75" thickBot="1" x14ac:dyDescent="0.3">
      <c r="A1" s="35" t="s">
        <v>0</v>
      </c>
      <c r="B1" s="35"/>
      <c r="C1" s="35"/>
      <c r="D1" s="35"/>
    </row>
    <row r="2" spans="1:4" ht="19.5" customHeight="1" x14ac:dyDescent="0.25">
      <c r="A2" s="36" t="s">
        <v>146</v>
      </c>
      <c r="B2" s="37"/>
      <c r="C2" s="37"/>
      <c r="D2" s="38"/>
    </row>
    <row r="3" spans="1:4" ht="25.5" x14ac:dyDescent="0.25">
      <c r="A3" s="42" t="s">
        <v>1</v>
      </c>
      <c r="B3" s="43" t="s">
        <v>2</v>
      </c>
      <c r="C3" s="43" t="s">
        <v>3</v>
      </c>
      <c r="D3" s="44" t="s">
        <v>36</v>
      </c>
    </row>
    <row r="4" spans="1:4" ht="15" customHeight="1" x14ac:dyDescent="0.25">
      <c r="A4" s="42" t="s">
        <v>101</v>
      </c>
      <c r="B4" s="45">
        <f>SUM(B5:B10)</f>
        <v>0</v>
      </c>
      <c r="C4" s="43"/>
      <c r="D4" s="44"/>
    </row>
    <row r="5" spans="1:4" x14ac:dyDescent="0.25">
      <c r="A5" s="8" t="s">
        <v>34</v>
      </c>
      <c r="B5" s="20"/>
      <c r="C5" s="1" t="s">
        <v>35</v>
      </c>
      <c r="D5" s="7" t="s">
        <v>72</v>
      </c>
    </row>
    <row r="6" spans="1:4" x14ac:dyDescent="0.25">
      <c r="A6" s="8" t="s">
        <v>34</v>
      </c>
      <c r="B6" s="20"/>
      <c r="C6" s="1" t="s">
        <v>35</v>
      </c>
      <c r="D6" s="7" t="s">
        <v>66</v>
      </c>
    </row>
    <row r="7" spans="1:4" x14ac:dyDescent="0.25">
      <c r="A7" s="8" t="s">
        <v>34</v>
      </c>
      <c r="B7" s="20"/>
      <c r="C7" s="1" t="s">
        <v>35</v>
      </c>
      <c r="D7" s="7" t="s">
        <v>74</v>
      </c>
    </row>
    <row r="8" spans="1:4" x14ac:dyDescent="0.25">
      <c r="A8" s="8" t="s">
        <v>34</v>
      </c>
      <c r="B8" s="20"/>
      <c r="C8" s="1" t="s">
        <v>35</v>
      </c>
      <c r="D8" s="7" t="s">
        <v>75</v>
      </c>
    </row>
    <row r="9" spans="1:4" x14ac:dyDescent="0.25">
      <c r="A9" s="8" t="s">
        <v>151</v>
      </c>
      <c r="B9" s="20"/>
      <c r="C9" s="1" t="s">
        <v>94</v>
      </c>
      <c r="D9" s="7" t="s">
        <v>149</v>
      </c>
    </row>
    <row r="10" spans="1:4" x14ac:dyDescent="0.25">
      <c r="A10" s="8" t="s">
        <v>151</v>
      </c>
      <c r="B10" s="20"/>
      <c r="C10" s="1" t="s">
        <v>94</v>
      </c>
      <c r="D10" s="7" t="s">
        <v>150</v>
      </c>
    </row>
    <row r="11" spans="1:4" ht="21" customHeight="1" x14ac:dyDescent="0.25">
      <c r="A11" s="42" t="s">
        <v>64</v>
      </c>
      <c r="B11" s="45">
        <f>SUM(B13:B16)</f>
        <v>0</v>
      </c>
      <c r="C11" s="43"/>
      <c r="D11" s="44"/>
    </row>
    <row r="12" spans="1:4" ht="18.75" customHeight="1" x14ac:dyDescent="0.25">
      <c r="A12" s="42" t="s">
        <v>156</v>
      </c>
      <c r="B12" s="45"/>
      <c r="C12" s="43"/>
      <c r="D12" s="44"/>
    </row>
    <row r="13" spans="1:4" x14ac:dyDescent="0.25">
      <c r="A13" s="5" t="s">
        <v>30</v>
      </c>
      <c r="B13" s="20"/>
      <c r="C13" s="3" t="s">
        <v>40</v>
      </c>
      <c r="D13" s="7" t="s">
        <v>26</v>
      </c>
    </row>
    <row r="14" spans="1:4" x14ac:dyDescent="0.25">
      <c r="A14" s="8" t="s">
        <v>124</v>
      </c>
      <c r="B14" s="20"/>
      <c r="C14" s="3" t="s">
        <v>119</v>
      </c>
      <c r="D14" s="7" t="s">
        <v>134</v>
      </c>
    </row>
    <row r="15" spans="1:4" x14ac:dyDescent="0.25">
      <c r="A15" s="8" t="s">
        <v>128</v>
      </c>
      <c r="B15" s="20"/>
      <c r="C15" s="3" t="s">
        <v>132</v>
      </c>
      <c r="D15" s="7" t="s">
        <v>135</v>
      </c>
    </row>
    <row r="16" spans="1:4" x14ac:dyDescent="0.25">
      <c r="A16" s="8" t="s">
        <v>128</v>
      </c>
      <c r="B16" s="20"/>
      <c r="C16" s="3" t="s">
        <v>133</v>
      </c>
      <c r="D16" s="7" t="s">
        <v>136</v>
      </c>
    </row>
    <row r="17" spans="1:4" ht="18.75" customHeight="1" x14ac:dyDescent="0.25">
      <c r="A17" s="42" t="s">
        <v>157</v>
      </c>
      <c r="B17" s="45"/>
      <c r="C17" s="43"/>
      <c r="D17" s="44"/>
    </row>
    <row r="18" spans="1:4" x14ac:dyDescent="0.25">
      <c r="A18" s="8" t="s">
        <v>40</v>
      </c>
      <c r="B18" s="20"/>
      <c r="C18" s="3" t="s">
        <v>67</v>
      </c>
      <c r="D18" s="7" t="s">
        <v>26</v>
      </c>
    </row>
    <row r="19" spans="1:4" x14ac:dyDescent="0.25">
      <c r="A19" s="8" t="s">
        <v>40</v>
      </c>
      <c r="B19" s="20"/>
      <c r="C19" s="3" t="s">
        <v>65</v>
      </c>
      <c r="D19" s="7" t="s">
        <v>26</v>
      </c>
    </row>
    <row r="20" spans="1:4" ht="16.5" customHeight="1" x14ac:dyDescent="0.25">
      <c r="A20" s="42" t="s">
        <v>145</v>
      </c>
      <c r="B20" s="45">
        <f>SUM(B21:B26)</f>
        <v>0</v>
      </c>
      <c r="C20" s="43"/>
      <c r="D20" s="44"/>
    </row>
    <row r="21" spans="1:4" x14ac:dyDescent="0.25">
      <c r="A21" s="5" t="s">
        <v>32</v>
      </c>
      <c r="B21" s="2"/>
      <c r="C21" s="3" t="s">
        <v>24</v>
      </c>
      <c r="D21" s="6" t="s">
        <v>38</v>
      </c>
    </row>
    <row r="22" spans="1:4" x14ac:dyDescent="0.25">
      <c r="A22" s="1" t="s">
        <v>31</v>
      </c>
      <c r="B22" s="2"/>
      <c r="C22" s="3" t="s">
        <v>16</v>
      </c>
      <c r="D22" s="6" t="s">
        <v>38</v>
      </c>
    </row>
    <row r="23" spans="1:4" x14ac:dyDescent="0.25">
      <c r="A23" s="1" t="s">
        <v>33</v>
      </c>
      <c r="B23" s="2"/>
      <c r="C23" s="3" t="s">
        <v>14</v>
      </c>
      <c r="D23" s="6" t="s">
        <v>38</v>
      </c>
    </row>
    <row r="24" spans="1:4" x14ac:dyDescent="0.25">
      <c r="A24" s="1" t="s">
        <v>6</v>
      </c>
      <c r="B24" s="20"/>
      <c r="C24" s="3" t="s">
        <v>5</v>
      </c>
      <c r="D24" s="6" t="s">
        <v>131</v>
      </c>
    </row>
    <row r="25" spans="1:4" x14ac:dyDescent="0.25">
      <c r="A25" s="1" t="s">
        <v>77</v>
      </c>
      <c r="B25" s="20"/>
      <c r="C25" s="3" t="s">
        <v>78</v>
      </c>
      <c r="D25" s="6" t="s">
        <v>39</v>
      </c>
    </row>
    <row r="26" spans="1:4" x14ac:dyDescent="0.25">
      <c r="A26" s="3" t="s">
        <v>68</v>
      </c>
      <c r="B26" s="20"/>
      <c r="C26" s="1" t="s">
        <v>117</v>
      </c>
      <c r="D26" s="13" t="s">
        <v>107</v>
      </c>
    </row>
    <row r="27" spans="1:4" ht="15.75" thickBot="1" x14ac:dyDescent="0.3">
      <c r="A27" s="14" t="s">
        <v>37</v>
      </c>
      <c r="B27" s="15">
        <f>B20+B11+B4</f>
        <v>0</v>
      </c>
      <c r="C27" s="9"/>
      <c r="D27" s="10"/>
    </row>
    <row r="28" spans="1:4" ht="15.75" thickBot="1" x14ac:dyDescent="0.3">
      <c r="A28" s="26"/>
      <c r="B28" s="27"/>
      <c r="C28" s="28"/>
      <c r="D28" s="29"/>
    </row>
    <row r="29" spans="1:4" ht="15.75" x14ac:dyDescent="0.25">
      <c r="A29" s="39" t="s">
        <v>147</v>
      </c>
      <c r="B29" s="40"/>
      <c r="C29" s="40"/>
      <c r="D29" s="41"/>
    </row>
    <row r="30" spans="1:4" ht="25.5" x14ac:dyDescent="0.25">
      <c r="A30" s="42" t="s">
        <v>1</v>
      </c>
      <c r="B30" s="43" t="s">
        <v>2</v>
      </c>
      <c r="C30" s="43" t="s">
        <v>4</v>
      </c>
      <c r="D30" s="44" t="s">
        <v>36</v>
      </c>
    </row>
    <row r="31" spans="1:4" x14ac:dyDescent="0.25">
      <c r="A31" s="42" t="s">
        <v>57</v>
      </c>
      <c r="B31" s="45">
        <f>SUM(B32:B44)</f>
        <v>0</v>
      </c>
      <c r="C31" s="43"/>
      <c r="D31" s="44"/>
    </row>
    <row r="32" spans="1:4" x14ac:dyDescent="0.25">
      <c r="A32" s="5" t="s">
        <v>22</v>
      </c>
      <c r="B32" s="16"/>
      <c r="C32" s="3" t="s">
        <v>40</v>
      </c>
      <c r="D32" s="6" t="s">
        <v>21</v>
      </c>
    </row>
    <row r="33" spans="1:4" x14ac:dyDescent="0.25">
      <c r="A33" s="5" t="s">
        <v>13</v>
      </c>
      <c r="B33" s="2"/>
      <c r="C33" s="3" t="s">
        <v>40</v>
      </c>
      <c r="D33" s="6" t="s">
        <v>58</v>
      </c>
    </row>
    <row r="34" spans="1:4" x14ac:dyDescent="0.25">
      <c r="A34" s="5" t="s">
        <v>12</v>
      </c>
      <c r="B34" s="2"/>
      <c r="C34" s="3" t="s">
        <v>24</v>
      </c>
      <c r="D34" s="6" t="s">
        <v>25</v>
      </c>
    </row>
    <row r="35" spans="1:4" x14ac:dyDescent="0.25">
      <c r="A35" s="5" t="s">
        <v>85</v>
      </c>
      <c r="B35" s="2"/>
      <c r="C35" s="3" t="s">
        <v>83</v>
      </c>
      <c r="D35" s="6" t="s">
        <v>86</v>
      </c>
    </row>
    <row r="36" spans="1:4" x14ac:dyDescent="0.25">
      <c r="A36" s="5" t="s">
        <v>29</v>
      </c>
      <c r="B36" s="2"/>
      <c r="C36" s="3" t="s">
        <v>5</v>
      </c>
      <c r="D36" s="6" t="s">
        <v>21</v>
      </c>
    </row>
    <row r="37" spans="1:4" x14ac:dyDescent="0.25">
      <c r="A37" s="5" t="s">
        <v>80</v>
      </c>
      <c r="B37" s="2"/>
      <c r="C37" s="3" t="s">
        <v>16</v>
      </c>
      <c r="D37" s="6" t="s">
        <v>21</v>
      </c>
    </row>
    <row r="38" spans="1:4" x14ac:dyDescent="0.25">
      <c r="A38" s="5" t="s">
        <v>102</v>
      </c>
      <c r="B38" s="2"/>
      <c r="C38" s="3" t="s">
        <v>40</v>
      </c>
      <c r="D38" s="6" t="s">
        <v>108</v>
      </c>
    </row>
    <row r="39" spans="1:4" x14ac:dyDescent="0.25">
      <c r="A39" s="5" t="s">
        <v>104</v>
      </c>
      <c r="B39" s="2"/>
      <c r="C39" s="3" t="s">
        <v>83</v>
      </c>
      <c r="D39" s="6" t="s">
        <v>105</v>
      </c>
    </row>
    <row r="40" spans="1:4" x14ac:dyDescent="0.25">
      <c r="A40" s="5" t="s">
        <v>111</v>
      </c>
      <c r="B40" s="2"/>
      <c r="C40" s="3" t="s">
        <v>73</v>
      </c>
      <c r="D40" s="6" t="s">
        <v>21</v>
      </c>
    </row>
    <row r="41" spans="1:4" x14ac:dyDescent="0.25">
      <c r="A41" s="5" t="s">
        <v>130</v>
      </c>
      <c r="B41" s="2"/>
      <c r="C41" s="3" t="s">
        <v>73</v>
      </c>
      <c r="D41" s="6" t="s">
        <v>21</v>
      </c>
    </row>
    <row r="42" spans="1:4" x14ac:dyDescent="0.25">
      <c r="A42" s="5" t="s">
        <v>148</v>
      </c>
      <c r="B42" s="2"/>
      <c r="C42" s="3" t="s">
        <v>40</v>
      </c>
      <c r="D42" s="6" t="s">
        <v>21</v>
      </c>
    </row>
    <row r="43" spans="1:4" x14ac:dyDescent="0.25">
      <c r="A43" s="5" t="s">
        <v>152</v>
      </c>
      <c r="B43" s="2"/>
      <c r="C43" s="3" t="s">
        <v>40</v>
      </c>
      <c r="D43" s="6" t="s">
        <v>154</v>
      </c>
    </row>
    <row r="44" spans="1:4" x14ac:dyDescent="0.25">
      <c r="A44" s="5" t="s">
        <v>153</v>
      </c>
      <c r="B44" s="2"/>
      <c r="C44" s="3" t="s">
        <v>40</v>
      </c>
      <c r="D44" s="6" t="s">
        <v>21</v>
      </c>
    </row>
    <row r="45" spans="1:4" x14ac:dyDescent="0.25">
      <c r="A45" s="42" t="s">
        <v>87</v>
      </c>
      <c r="B45" s="45">
        <f>B46+B47+B48</f>
        <v>0</v>
      </c>
      <c r="C45" s="43"/>
      <c r="D45" s="44"/>
    </row>
    <row r="46" spans="1:4" x14ac:dyDescent="0.25">
      <c r="A46" s="5" t="s">
        <v>88</v>
      </c>
      <c r="B46" s="2"/>
      <c r="C46" s="3" t="s">
        <v>83</v>
      </c>
      <c r="D46" s="6" t="s">
        <v>89</v>
      </c>
    </row>
    <row r="47" spans="1:4" x14ac:dyDescent="0.25">
      <c r="A47" s="5" t="s">
        <v>91</v>
      </c>
      <c r="B47" s="2"/>
      <c r="C47" s="3" t="s">
        <v>83</v>
      </c>
      <c r="D47" s="6" t="s">
        <v>155</v>
      </c>
    </row>
    <row r="48" spans="1:4" x14ac:dyDescent="0.25">
      <c r="A48" s="5" t="s">
        <v>112</v>
      </c>
      <c r="B48" s="2"/>
      <c r="C48" s="3" t="s">
        <v>113</v>
      </c>
      <c r="D48" s="6" t="s">
        <v>114</v>
      </c>
    </row>
    <row r="49" spans="1:6" x14ac:dyDescent="0.25">
      <c r="A49" s="42" t="s">
        <v>59</v>
      </c>
      <c r="B49" s="45">
        <f>SUM(B50:B56)</f>
        <v>0</v>
      </c>
      <c r="C49" s="43"/>
      <c r="D49" s="44"/>
    </row>
    <row r="50" spans="1:6" x14ac:dyDescent="0.25">
      <c r="A50" s="5" t="s">
        <v>117</v>
      </c>
      <c r="B50" s="20"/>
      <c r="C50" s="3" t="s">
        <v>68</v>
      </c>
      <c r="D50" s="6" t="s">
        <v>106</v>
      </c>
    </row>
    <row r="51" spans="1:6" x14ac:dyDescent="0.25">
      <c r="A51" s="3" t="s">
        <v>24</v>
      </c>
      <c r="B51" s="20"/>
      <c r="C51" s="3" t="s">
        <v>40</v>
      </c>
      <c r="D51" s="6" t="s">
        <v>144</v>
      </c>
    </row>
    <row r="52" spans="1:6" x14ac:dyDescent="0.25">
      <c r="A52" s="3" t="s">
        <v>68</v>
      </c>
      <c r="B52" s="20"/>
      <c r="C52" s="3" t="s">
        <v>40</v>
      </c>
      <c r="D52" s="6" t="s">
        <v>144</v>
      </c>
    </row>
    <row r="53" spans="1:6" x14ac:dyDescent="0.25">
      <c r="A53" s="5" t="s">
        <v>7</v>
      </c>
      <c r="B53" s="2"/>
      <c r="C53" s="3" t="s">
        <v>40</v>
      </c>
      <c r="D53" s="6" t="s">
        <v>18</v>
      </c>
    </row>
    <row r="54" spans="1:6" x14ac:dyDescent="0.25">
      <c r="A54" s="5" t="s">
        <v>9</v>
      </c>
      <c r="B54" s="2"/>
      <c r="C54" s="3" t="s">
        <v>40</v>
      </c>
      <c r="D54" s="6" t="s">
        <v>19</v>
      </c>
    </row>
    <row r="55" spans="1:6" x14ac:dyDescent="0.25">
      <c r="A55" s="5" t="s">
        <v>9</v>
      </c>
      <c r="B55" s="2"/>
      <c r="C55" s="3" t="s">
        <v>65</v>
      </c>
      <c r="D55" s="6" t="s">
        <v>19</v>
      </c>
    </row>
    <row r="56" spans="1:6" x14ac:dyDescent="0.25">
      <c r="A56" s="5" t="s">
        <v>125</v>
      </c>
      <c r="B56" s="2"/>
      <c r="C56" s="3" t="s">
        <v>40</v>
      </c>
      <c r="D56" s="6" t="s">
        <v>126</v>
      </c>
    </row>
    <row r="57" spans="1:6" x14ac:dyDescent="0.25">
      <c r="A57" s="42" t="s">
        <v>60</v>
      </c>
      <c r="B57" s="45">
        <f>SUM(B58:B73)</f>
        <v>0</v>
      </c>
      <c r="C57" s="43"/>
      <c r="D57" s="44"/>
    </row>
    <row r="58" spans="1:6" x14ac:dyDescent="0.25">
      <c r="A58" s="5" t="s">
        <v>22</v>
      </c>
      <c r="B58" s="20"/>
      <c r="C58" s="3" t="s">
        <v>40</v>
      </c>
      <c r="D58" s="6" t="s">
        <v>23</v>
      </c>
    </row>
    <row r="59" spans="1:6" x14ac:dyDescent="0.25">
      <c r="A59" s="5" t="s">
        <v>8</v>
      </c>
      <c r="B59" s="25"/>
      <c r="C59" s="3" t="s">
        <v>40</v>
      </c>
      <c r="D59" s="6" t="s">
        <v>23</v>
      </c>
    </row>
    <row r="60" spans="1:6" x14ac:dyDescent="0.25">
      <c r="A60" s="8" t="s">
        <v>68</v>
      </c>
      <c r="B60" s="20"/>
      <c r="C60" s="3" t="s">
        <v>40</v>
      </c>
      <c r="D60" s="7" t="s">
        <v>76</v>
      </c>
    </row>
    <row r="61" spans="1:6" x14ac:dyDescent="0.25">
      <c r="A61" s="5" t="s">
        <v>29</v>
      </c>
      <c r="B61" s="20"/>
      <c r="C61" s="1" t="s">
        <v>17</v>
      </c>
      <c r="D61" s="7" t="s">
        <v>23</v>
      </c>
    </row>
    <row r="62" spans="1:6" x14ac:dyDescent="0.25">
      <c r="A62" s="5" t="s">
        <v>54</v>
      </c>
      <c r="B62" s="20"/>
      <c r="C62" s="3" t="s">
        <v>67</v>
      </c>
      <c r="D62" s="7" t="s">
        <v>23</v>
      </c>
    </row>
    <row r="63" spans="1:6" x14ac:dyDescent="0.25">
      <c r="A63" s="5" t="s">
        <v>55</v>
      </c>
      <c r="B63" s="20"/>
      <c r="C63" s="3" t="s">
        <v>67</v>
      </c>
      <c r="D63" s="6" t="s">
        <v>56</v>
      </c>
      <c r="F63" s="33"/>
    </row>
    <row r="64" spans="1:6" x14ac:dyDescent="0.25">
      <c r="A64" s="5" t="s">
        <v>35</v>
      </c>
      <c r="B64" s="20"/>
      <c r="C64" s="3" t="s">
        <v>67</v>
      </c>
      <c r="D64" s="7" t="s">
        <v>23</v>
      </c>
    </row>
    <row r="65" spans="1:4" x14ac:dyDescent="0.25">
      <c r="A65" s="8" t="s">
        <v>5</v>
      </c>
      <c r="B65" s="20"/>
      <c r="C65" s="3" t="s">
        <v>68</v>
      </c>
      <c r="D65" s="7" t="s">
        <v>110</v>
      </c>
    </row>
    <row r="66" spans="1:4" x14ac:dyDescent="0.25">
      <c r="A66" s="5" t="s">
        <v>119</v>
      </c>
      <c r="B66" s="20"/>
      <c r="C66" s="3" t="s">
        <v>68</v>
      </c>
      <c r="D66" s="7" t="s">
        <v>109</v>
      </c>
    </row>
    <row r="67" spans="1:4" x14ac:dyDescent="0.25">
      <c r="A67" s="8" t="s">
        <v>103</v>
      </c>
      <c r="B67" s="20"/>
      <c r="C67" s="3" t="s">
        <v>68</v>
      </c>
      <c r="D67" s="7" t="s">
        <v>109</v>
      </c>
    </row>
    <row r="68" spans="1:4" x14ac:dyDescent="0.25">
      <c r="A68" s="5" t="s">
        <v>94</v>
      </c>
      <c r="B68" s="20"/>
      <c r="C68" s="3" t="s">
        <v>65</v>
      </c>
      <c r="D68" s="7" t="s">
        <v>109</v>
      </c>
    </row>
    <row r="69" spans="1:4" x14ac:dyDescent="0.25">
      <c r="A69" s="5" t="s">
        <v>77</v>
      </c>
      <c r="B69" s="20"/>
      <c r="C69" s="3" t="s">
        <v>65</v>
      </c>
      <c r="D69" s="7" t="s">
        <v>109</v>
      </c>
    </row>
    <row r="70" spans="1:4" x14ac:dyDescent="0.25">
      <c r="A70" s="5" t="s">
        <v>115</v>
      </c>
      <c r="B70" s="20"/>
      <c r="C70" s="1" t="s">
        <v>94</v>
      </c>
      <c r="D70" s="7" t="s">
        <v>116</v>
      </c>
    </row>
    <row r="71" spans="1:4" x14ac:dyDescent="0.25">
      <c r="A71" s="5" t="s">
        <v>118</v>
      </c>
      <c r="B71" s="20"/>
      <c r="C71" s="1" t="s">
        <v>94</v>
      </c>
      <c r="D71" s="7" t="s">
        <v>116</v>
      </c>
    </row>
    <row r="72" spans="1:4" x14ac:dyDescent="0.25">
      <c r="A72" s="3" t="s">
        <v>122</v>
      </c>
      <c r="B72" s="20"/>
      <c r="C72" s="3" t="s">
        <v>68</v>
      </c>
      <c r="D72" s="7" t="s">
        <v>109</v>
      </c>
    </row>
    <row r="73" spans="1:4" x14ac:dyDescent="0.25">
      <c r="A73" s="32" t="s">
        <v>129</v>
      </c>
      <c r="B73" s="20"/>
      <c r="C73" s="3" t="s">
        <v>122</v>
      </c>
      <c r="D73" s="7" t="s">
        <v>109</v>
      </c>
    </row>
    <row r="74" spans="1:4" x14ac:dyDescent="0.25">
      <c r="A74" s="42" t="s">
        <v>158</v>
      </c>
      <c r="B74" s="45">
        <f>SUM(B75:B78)</f>
        <v>0</v>
      </c>
      <c r="C74" s="43"/>
      <c r="D74" s="44"/>
    </row>
    <row r="75" spans="1:4" x14ac:dyDescent="0.25">
      <c r="A75" s="8" t="s">
        <v>73</v>
      </c>
      <c r="B75" s="20"/>
      <c r="C75" s="3" t="s">
        <v>65</v>
      </c>
      <c r="D75" s="7" t="s">
        <v>120</v>
      </c>
    </row>
    <row r="76" spans="1:4" x14ac:dyDescent="0.25">
      <c r="A76" s="8" t="s">
        <v>73</v>
      </c>
      <c r="B76" s="20"/>
      <c r="C76" s="3" t="s">
        <v>67</v>
      </c>
      <c r="D76" s="7" t="s">
        <v>120</v>
      </c>
    </row>
    <row r="77" spans="1:4" x14ac:dyDescent="0.25">
      <c r="A77" s="8" t="s">
        <v>40</v>
      </c>
      <c r="B77" s="20"/>
      <c r="C77" s="3" t="s">
        <v>122</v>
      </c>
      <c r="D77" s="7" t="s">
        <v>121</v>
      </c>
    </row>
    <row r="78" spans="1:4" x14ac:dyDescent="0.25">
      <c r="A78" s="8" t="s">
        <v>73</v>
      </c>
      <c r="B78" s="20"/>
      <c r="C78" s="3" t="s">
        <v>40</v>
      </c>
      <c r="D78" s="7" t="s">
        <v>120</v>
      </c>
    </row>
    <row r="79" spans="1:4" x14ac:dyDescent="0.25">
      <c r="A79" s="42" t="s">
        <v>61</v>
      </c>
      <c r="B79" s="45">
        <f>SUM(B80:B93)</f>
        <v>0</v>
      </c>
      <c r="C79" s="43"/>
      <c r="D79" s="44"/>
    </row>
    <row r="80" spans="1:4" x14ac:dyDescent="0.25">
      <c r="A80" s="5" t="s">
        <v>29</v>
      </c>
      <c r="B80" s="20"/>
      <c r="C80" s="3" t="s">
        <v>103</v>
      </c>
      <c r="D80" s="6" t="s">
        <v>127</v>
      </c>
    </row>
    <row r="81" spans="1:4" ht="33" customHeight="1" x14ac:dyDescent="0.25">
      <c r="A81" s="5" t="s">
        <v>96</v>
      </c>
      <c r="B81" s="2"/>
      <c r="C81" s="3" t="s">
        <v>100</v>
      </c>
      <c r="D81" s="6" t="s">
        <v>98</v>
      </c>
    </row>
    <row r="82" spans="1:4" ht="27" customHeight="1" x14ac:dyDescent="0.25">
      <c r="A82" s="5" t="s">
        <v>97</v>
      </c>
      <c r="B82" s="2"/>
      <c r="C82" s="3" t="s">
        <v>8</v>
      </c>
      <c r="D82" s="6" t="s">
        <v>99</v>
      </c>
    </row>
    <row r="83" spans="1:4" ht="27" customHeight="1" x14ac:dyDescent="0.25">
      <c r="A83" s="42" t="s">
        <v>159</v>
      </c>
      <c r="B83" s="45">
        <f>SUM(B84:B97)</f>
        <v>0</v>
      </c>
      <c r="C83" s="43"/>
      <c r="D83" s="44"/>
    </row>
    <row r="84" spans="1:4" x14ac:dyDescent="0.25">
      <c r="A84" s="5" t="s">
        <v>43</v>
      </c>
      <c r="B84" s="2"/>
      <c r="C84" s="3" t="s">
        <v>5</v>
      </c>
      <c r="D84" s="6" t="s">
        <v>53</v>
      </c>
    </row>
    <row r="85" spans="1:4" x14ac:dyDescent="0.25">
      <c r="A85" s="5" t="s">
        <v>44</v>
      </c>
      <c r="B85" s="2"/>
      <c r="C85" s="3" t="s">
        <v>5</v>
      </c>
      <c r="D85" s="6" t="s">
        <v>53</v>
      </c>
    </row>
    <row r="86" spans="1:4" x14ac:dyDescent="0.25">
      <c r="A86" s="5" t="s">
        <v>45</v>
      </c>
      <c r="B86" s="2"/>
      <c r="C86" s="3" t="s">
        <v>5</v>
      </c>
      <c r="D86" s="6" t="s">
        <v>53</v>
      </c>
    </row>
    <row r="87" spans="1:4" x14ac:dyDescent="0.25">
      <c r="A87" s="5" t="s">
        <v>46</v>
      </c>
      <c r="B87" s="2"/>
      <c r="C87" s="3" t="s">
        <v>5</v>
      </c>
      <c r="D87" s="6" t="s">
        <v>53</v>
      </c>
    </row>
    <row r="88" spans="1:4" x14ac:dyDescent="0.25">
      <c r="A88" s="5" t="s">
        <v>47</v>
      </c>
      <c r="B88" s="2"/>
      <c r="C88" s="3" t="s">
        <v>5</v>
      </c>
      <c r="D88" s="6" t="s">
        <v>53</v>
      </c>
    </row>
    <row r="89" spans="1:4" x14ac:dyDescent="0.25">
      <c r="A89" s="5" t="s">
        <v>48</v>
      </c>
      <c r="B89" s="2"/>
      <c r="C89" s="3" t="s">
        <v>5</v>
      </c>
      <c r="D89" s="6" t="s">
        <v>53</v>
      </c>
    </row>
    <row r="90" spans="1:4" x14ac:dyDescent="0.25">
      <c r="A90" s="5" t="s">
        <v>49</v>
      </c>
      <c r="B90" s="2"/>
      <c r="C90" s="3" t="s">
        <v>5</v>
      </c>
      <c r="D90" s="6" t="s">
        <v>53</v>
      </c>
    </row>
    <row r="91" spans="1:4" x14ac:dyDescent="0.25">
      <c r="A91" s="5" t="s">
        <v>50</v>
      </c>
      <c r="B91" s="2"/>
      <c r="C91" s="3" t="s">
        <v>5</v>
      </c>
      <c r="D91" s="6" t="s">
        <v>53</v>
      </c>
    </row>
    <row r="92" spans="1:4" x14ac:dyDescent="0.25">
      <c r="A92" s="5" t="s">
        <v>51</v>
      </c>
      <c r="B92" s="2"/>
      <c r="C92" s="3" t="s">
        <v>5</v>
      </c>
      <c r="D92" s="6" t="s">
        <v>53</v>
      </c>
    </row>
    <row r="93" spans="1:4" x14ac:dyDescent="0.25">
      <c r="A93" s="5" t="s">
        <v>52</v>
      </c>
      <c r="B93" s="2"/>
      <c r="C93" s="3" t="s">
        <v>5</v>
      </c>
      <c r="D93" s="6" t="s">
        <v>53</v>
      </c>
    </row>
    <row r="94" spans="1:4" x14ac:dyDescent="0.25">
      <c r="A94" s="42" t="s">
        <v>63</v>
      </c>
      <c r="B94" s="45">
        <f>SUM(B95:B97)</f>
        <v>0</v>
      </c>
      <c r="C94" s="43"/>
      <c r="D94" s="44"/>
    </row>
    <row r="95" spans="1:4" x14ac:dyDescent="0.25">
      <c r="A95" s="5" t="s">
        <v>27</v>
      </c>
      <c r="B95" s="2"/>
      <c r="C95" s="3" t="s">
        <v>40</v>
      </c>
      <c r="D95" s="6" t="s">
        <v>28</v>
      </c>
    </row>
    <row r="96" spans="1:4" x14ac:dyDescent="0.25">
      <c r="A96" s="5" t="s">
        <v>41</v>
      </c>
      <c r="B96" s="2"/>
      <c r="C96" s="3" t="s">
        <v>40</v>
      </c>
      <c r="D96" s="6" t="s">
        <v>42</v>
      </c>
    </row>
    <row r="97" spans="1:4" x14ac:dyDescent="0.25">
      <c r="A97" s="5" t="s">
        <v>10</v>
      </c>
      <c r="B97" s="2"/>
      <c r="C97" s="3" t="s">
        <v>11</v>
      </c>
      <c r="D97" s="6" t="s">
        <v>20</v>
      </c>
    </row>
    <row r="98" spans="1:4" x14ac:dyDescent="0.25">
      <c r="A98" s="42" t="s">
        <v>69</v>
      </c>
      <c r="B98" s="45">
        <f>SUM(B99:B104)</f>
        <v>0</v>
      </c>
      <c r="C98" s="43"/>
      <c r="D98" s="44"/>
    </row>
    <row r="99" spans="1:4" x14ac:dyDescent="0.25">
      <c r="A99" s="5" t="s">
        <v>70</v>
      </c>
      <c r="B99" s="20"/>
      <c r="C99" s="3" t="s">
        <v>65</v>
      </c>
      <c r="D99" s="6" t="s">
        <v>71</v>
      </c>
    </row>
    <row r="100" spans="1:4" x14ac:dyDescent="0.25">
      <c r="A100" s="5" t="s">
        <v>70</v>
      </c>
      <c r="B100" s="20"/>
      <c r="C100" s="3" t="s">
        <v>67</v>
      </c>
      <c r="D100" s="6" t="s">
        <v>71</v>
      </c>
    </row>
    <row r="101" spans="1:4" x14ac:dyDescent="0.25">
      <c r="A101" s="5" t="s">
        <v>70</v>
      </c>
      <c r="B101" s="20"/>
      <c r="C101" s="3" t="s">
        <v>40</v>
      </c>
      <c r="D101" s="6" t="s">
        <v>71</v>
      </c>
    </row>
    <row r="102" spans="1:4" x14ac:dyDescent="0.25">
      <c r="A102" s="5" t="s">
        <v>70</v>
      </c>
      <c r="B102" s="20"/>
      <c r="C102" s="3" t="s">
        <v>73</v>
      </c>
      <c r="D102" s="6" t="s">
        <v>71</v>
      </c>
    </row>
    <row r="103" spans="1:4" x14ac:dyDescent="0.25">
      <c r="A103" s="5" t="s">
        <v>70</v>
      </c>
      <c r="B103" s="20"/>
      <c r="C103" s="3" t="s">
        <v>119</v>
      </c>
      <c r="D103" s="6" t="s">
        <v>71</v>
      </c>
    </row>
    <row r="104" spans="1:4" x14ac:dyDescent="0.25">
      <c r="A104" s="5" t="s">
        <v>70</v>
      </c>
      <c r="B104" s="20"/>
      <c r="C104" s="3" t="s">
        <v>143</v>
      </c>
      <c r="D104" s="6" t="s">
        <v>71</v>
      </c>
    </row>
    <row r="105" spans="1:4" x14ac:dyDescent="0.25">
      <c r="A105" s="42" t="s">
        <v>62</v>
      </c>
      <c r="B105" s="45">
        <f>SUM(B106:B116)</f>
        <v>0</v>
      </c>
      <c r="C105" s="43"/>
      <c r="D105" s="44"/>
    </row>
    <row r="106" spans="1:4" x14ac:dyDescent="0.25">
      <c r="A106" s="18" t="s">
        <v>15</v>
      </c>
      <c r="B106" s="24"/>
      <c r="C106" s="22" t="s">
        <v>14</v>
      </c>
      <c r="D106" s="23" t="s">
        <v>81</v>
      </c>
    </row>
    <row r="107" spans="1:4" hidden="1" x14ac:dyDescent="0.25">
      <c r="A107" s="5" t="s">
        <v>93</v>
      </c>
      <c r="B107" s="17"/>
      <c r="C107" s="1" t="s">
        <v>16</v>
      </c>
      <c r="D107" s="23" t="s">
        <v>82</v>
      </c>
    </row>
    <row r="108" spans="1:4" x14ac:dyDescent="0.25">
      <c r="A108" s="5" t="s">
        <v>90</v>
      </c>
      <c r="B108" s="17"/>
      <c r="C108" s="1" t="s">
        <v>16</v>
      </c>
      <c r="D108" s="23" t="s">
        <v>82</v>
      </c>
    </row>
    <row r="109" spans="1:4" x14ac:dyDescent="0.25">
      <c r="A109" s="18" t="s">
        <v>79</v>
      </c>
      <c r="B109" s="24"/>
      <c r="C109" s="22" t="s">
        <v>16</v>
      </c>
      <c r="D109" s="23" t="s">
        <v>92</v>
      </c>
    </row>
    <row r="110" spans="1:4" x14ac:dyDescent="0.25">
      <c r="A110" s="5" t="s">
        <v>79</v>
      </c>
      <c r="B110" s="19"/>
      <c r="C110" s="22" t="s">
        <v>16</v>
      </c>
      <c r="D110" s="23" t="s">
        <v>84</v>
      </c>
    </row>
    <row r="111" spans="1:4" x14ac:dyDescent="0.25">
      <c r="A111" s="5" t="s">
        <v>95</v>
      </c>
      <c r="B111" s="19"/>
      <c r="C111" s="22" t="s">
        <v>16</v>
      </c>
      <c r="D111" s="23" t="s">
        <v>92</v>
      </c>
    </row>
    <row r="112" spans="1:4" x14ac:dyDescent="0.25">
      <c r="A112" s="12" t="s">
        <v>137</v>
      </c>
      <c r="B112" s="30"/>
      <c r="C112" s="3" t="s">
        <v>5</v>
      </c>
      <c r="D112" s="31" t="s">
        <v>138</v>
      </c>
    </row>
    <row r="113" spans="1:4" ht="15.75" x14ac:dyDescent="0.25">
      <c r="A113" s="34" t="s">
        <v>139</v>
      </c>
      <c r="B113" s="30"/>
      <c r="C113" s="3" t="s">
        <v>5</v>
      </c>
      <c r="D113" s="31" t="s">
        <v>142</v>
      </c>
    </row>
    <row r="114" spans="1:4" ht="15.75" x14ac:dyDescent="0.25">
      <c r="A114" s="34" t="s">
        <v>140</v>
      </c>
      <c r="B114" s="30"/>
      <c r="C114" s="3" t="s">
        <v>5</v>
      </c>
      <c r="D114" s="31" t="s">
        <v>142</v>
      </c>
    </row>
    <row r="115" spans="1:4" ht="15.75" x14ac:dyDescent="0.25">
      <c r="A115" s="34" t="s">
        <v>141</v>
      </c>
      <c r="B115" s="30"/>
      <c r="C115" s="3" t="s">
        <v>5</v>
      </c>
      <c r="D115" s="31" t="s">
        <v>142</v>
      </c>
    </row>
    <row r="116" spans="1:4" x14ac:dyDescent="0.25">
      <c r="A116" s="12" t="s">
        <v>123</v>
      </c>
      <c r="B116" s="30"/>
      <c r="C116" s="3" t="s">
        <v>5</v>
      </c>
      <c r="D116" s="31" t="s">
        <v>123</v>
      </c>
    </row>
    <row r="117" spans="1:4" ht="15.75" thickBot="1" x14ac:dyDescent="0.3">
      <c r="A117" s="14" t="s">
        <v>37</v>
      </c>
      <c r="B117" s="21">
        <f>B105+B98+B94+B79+B57+B49+B45+B31+B74</f>
        <v>0</v>
      </c>
      <c r="C117" s="11"/>
      <c r="D117" s="10"/>
    </row>
  </sheetData>
  <mergeCells count="3">
    <mergeCell ref="A1:D1"/>
    <mergeCell ref="A2:D2"/>
    <mergeCell ref="A29:D29"/>
  </mergeCells>
  <pageMargins left="0.25" right="0.25" top="0.75" bottom="0.75" header="0.3" footer="0.3"/>
  <pageSetup paperSize="9" scale="4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Stanislav Miziyev</cp:lastModifiedBy>
  <cp:lastPrinted>2026-04-30T13:04:32Z</cp:lastPrinted>
  <dcterms:created xsi:type="dcterms:W3CDTF">2024-09-19T10:11:56Z</dcterms:created>
  <dcterms:modified xsi:type="dcterms:W3CDTF">2026-05-04T08:03:43Z</dcterms:modified>
</cp:coreProperties>
</file>